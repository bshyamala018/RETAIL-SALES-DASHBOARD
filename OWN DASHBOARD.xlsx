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https://d.docs.live.net/305cb09668ff57f0/Desktop/"/>
    </mc:Choice>
  </mc:AlternateContent>
  <xr:revisionPtr revIDLastSave="0" documentId="8_{8753C8A7-A556-43A5-8AF2-EF979549579A}" xr6:coauthVersionLast="47" xr6:coauthVersionMax="47" xr10:uidLastSave="{00000000-0000-0000-0000-000000000000}"/>
  <bookViews>
    <workbookView xWindow="-120" yWindow="-120" windowWidth="20730" windowHeight="11040" activeTab="2" xr2:uid="{00000000-000D-0000-FFFF-FFFF00000000}"/>
  </bookViews>
  <sheets>
    <sheet name="CALCULATIONS" sheetId="3" r:id="rId1"/>
    <sheet name="RetailSales" sheetId="1" r:id="rId2"/>
    <sheet name="dashboard" sheetId="2" r:id="rId3"/>
  </sheets>
  <definedNames>
    <definedName name="_xlchart.v5.0" hidden="1">CALCULATIONS!$I$26</definedName>
    <definedName name="_xlchart.v5.1" hidden="1">CALCULATIONS!$I$27:$I$36</definedName>
    <definedName name="_xlchart.v5.10" hidden="1">CALCULATIONS!$F$25</definedName>
    <definedName name="_xlchart.v5.11" hidden="1">CALCULATIONS!$F$26:$F$36</definedName>
    <definedName name="_xlchart.v5.12" hidden="1">CALCULATIONS!$G$25</definedName>
    <definedName name="_xlchart.v5.13" hidden="1">CALCULATIONS!$G$26:$G$36</definedName>
    <definedName name="_xlchart.v5.2" hidden="1">CALCULATIONS!$J$25:$J$26</definedName>
    <definedName name="_xlchart.v5.3" hidden="1">CALCULATIONS!$J$26</definedName>
    <definedName name="_xlchart.v5.4" hidden="1">CALCULATIONS!$J$27:$J$36</definedName>
    <definedName name="_xlchart.v5.5" hidden="1">CALCULATIONS!$I$26</definedName>
    <definedName name="_xlchart.v5.6" hidden="1">CALCULATIONS!$I$27:$I$36</definedName>
    <definedName name="_xlchart.v5.7" hidden="1">CALCULATIONS!$J$25:$J$26</definedName>
    <definedName name="_xlchart.v5.8" hidden="1">CALCULATIONS!$J$26</definedName>
    <definedName name="_xlchart.v5.9" hidden="1">CALCULATIONS!$J$27:$J$36</definedName>
    <definedName name="_xlcn.WorksheetConnection_Retail_Sales_Dataset_1000_Records1.xlsxTable11" hidden="1">Table1[]</definedName>
    <definedName name="Slicer_Payment_Method">#N/A</definedName>
    <definedName name="Slicer_Product_Category">#N/A</definedName>
  </definedNames>
  <calcPr calcId="191029"/>
  <pivotCaches>
    <pivotCache cacheId="453" r:id="rId4"/>
    <pivotCache cacheId="456" r:id="rId5"/>
    <pivotCache cacheId="459" r:id="rId6"/>
    <pivotCache cacheId="462" r:id="rId7"/>
    <pivotCache cacheId="465" r:id="rId8"/>
    <pivotCache cacheId="471" r:id="rId9"/>
    <pivotCache cacheId="474" r:id="rId10"/>
  </pivotCaches>
  <extLst>
    <ext xmlns:x14="http://schemas.microsoft.com/office/spreadsheetml/2009/9/main" uri="{876F7934-8845-4945-9796-88D515C7AA90}">
      <x14:pivotCaches>
        <pivotCache cacheId="26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Sales_Dataset_1000_Records (1).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3" l="1"/>
  <c r="J29" i="3"/>
  <c r="J30" i="3"/>
  <c r="J31" i="3"/>
  <c r="J32" i="3"/>
  <c r="J33" i="3"/>
  <c r="J34" i="3"/>
  <c r="J35" i="3"/>
  <c r="J36" i="3"/>
  <c r="J27" i="3"/>
  <c r="I28" i="3"/>
  <c r="I29" i="3"/>
  <c r="I30" i="3"/>
  <c r="I31" i="3"/>
  <c r="I32" i="3"/>
  <c r="I33" i="3"/>
  <c r="I34" i="3"/>
  <c r="I35" i="3"/>
  <c r="I36" i="3"/>
  <c r="I27" i="3"/>
  <c r="G28" i="3"/>
  <c r="G29" i="3"/>
  <c r="G30" i="3"/>
  <c r="G31" i="3"/>
  <c r="G32" i="3"/>
  <c r="G33" i="3"/>
  <c r="G34" i="3"/>
  <c r="G35" i="3"/>
  <c r="G36" i="3"/>
  <c r="G27" i="3"/>
  <c r="F36" i="3"/>
  <c r="F35" i="3"/>
  <c r="F28" i="3"/>
  <c r="F29" i="3"/>
  <c r="F30" i="3"/>
  <c r="F31" i="3"/>
  <c r="F32" i="3"/>
  <c r="F33" i="3"/>
  <c r="F34" i="3"/>
  <c r="F27" i="3"/>
  <c r="D21" i="3"/>
  <c r="E14" i="3"/>
  <c r="E15" i="3"/>
  <c r="E16" i="3"/>
  <c r="E17" i="3"/>
  <c r="E18" i="3"/>
  <c r="E19" i="3"/>
  <c r="E20" i="3"/>
  <c r="E21" i="3"/>
  <c r="E22" i="3"/>
  <c r="E13" i="3"/>
  <c r="D14" i="3"/>
  <c r="D15" i="3"/>
  <c r="D16" i="3"/>
  <c r="D17" i="3"/>
  <c r="D18" i="3"/>
  <c r="D19" i="3"/>
  <c r="D20" i="3"/>
  <c r="D22" i="3"/>
  <c r="D13" i="3"/>
  <c r="B8" i="3"/>
  <c r="F8" i="3"/>
  <c r="A8" i="3"/>
  <c r="C8" i="3"/>
  <c r="D8" i="3"/>
  <c r="E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384802-98E5-48F7-A869-C97043A366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B946EF-1041-4C38-B645-9473DD2FDCA3}" name="WorksheetConnection_Retail_Sales_Dataset_1000_Records (1).xlsx!Table1" type="102" refreshedVersion="8" minRefreshableVersion="5">
    <extLst>
      <ext xmlns:x15="http://schemas.microsoft.com/office/spreadsheetml/2010/11/main" uri="{DE250136-89BD-433C-8126-D09CA5730AF9}">
        <x15:connection id="Table1" autoDelete="1">
          <x15:rangePr sourceName="_xlcn.WorksheetConnection_Retail_Sales_Dataset_1000_Records1.xlsxTable11"/>
        </x15:connection>
      </ext>
    </extLst>
  </connection>
</connections>
</file>

<file path=xl/sharedStrings.xml><?xml version="1.0" encoding="utf-8"?>
<sst xmlns="http://schemas.openxmlformats.org/spreadsheetml/2006/main" count="9105" uniqueCount="1111">
  <si>
    <t>Order ID</t>
  </si>
  <si>
    <t>Order Date</t>
  </si>
  <si>
    <t>Region</t>
  </si>
  <si>
    <t>State</t>
  </si>
  <si>
    <t>City</t>
  </si>
  <si>
    <t>Salesperson</t>
  </si>
  <si>
    <t>Customer Type</t>
  </si>
  <si>
    <t>Product Category</t>
  </si>
  <si>
    <t>Product Name</t>
  </si>
  <si>
    <t>Quantity</t>
  </si>
  <si>
    <t>Unit Price</t>
  </si>
  <si>
    <t>Discount %</t>
  </si>
  <si>
    <t>Sales Amount</t>
  </si>
  <si>
    <t>Profit</t>
  </si>
  <si>
    <t>Payment Method</t>
  </si>
  <si>
    <t>ORD1001</t>
  </si>
  <si>
    <t>North</t>
  </si>
  <si>
    <t>Punjab</t>
  </si>
  <si>
    <t>Ludhiana</t>
  </si>
  <si>
    <t>Priya</t>
  </si>
  <si>
    <t>New</t>
  </si>
  <si>
    <t>Grocery</t>
  </si>
  <si>
    <t>Oil</t>
  </si>
  <si>
    <t>UPI</t>
  </si>
  <si>
    <t>ORD1002</t>
  </si>
  <si>
    <t>West</t>
  </si>
  <si>
    <t>Gujarat</t>
  </si>
  <si>
    <t>Ahmedabad</t>
  </si>
  <si>
    <t>Existing</t>
  </si>
  <si>
    <t>Electronics</t>
  </si>
  <si>
    <t>Headphones</t>
  </si>
  <si>
    <t>Card</t>
  </si>
  <si>
    <t>ORD1003</t>
  </si>
  <si>
    <t>Kiran</t>
  </si>
  <si>
    <t>Net Banking</t>
  </si>
  <si>
    <t>ORD1004</t>
  </si>
  <si>
    <t>South</t>
  </si>
  <si>
    <t>Karnataka</t>
  </si>
  <si>
    <t>Bengaluru</t>
  </si>
  <si>
    <t>Rahul</t>
  </si>
  <si>
    <t>Clothing</t>
  </si>
  <si>
    <t>Jacket</t>
  </si>
  <si>
    <t>Cash</t>
  </si>
  <si>
    <t>ORD1005</t>
  </si>
  <si>
    <t>Delhi</t>
  </si>
  <si>
    <t>Sugar</t>
  </si>
  <si>
    <t>ORD1006</t>
  </si>
  <si>
    <t>Sneha</t>
  </si>
  <si>
    <t>Phone</t>
  </si>
  <si>
    <t>ORD1007</t>
  </si>
  <si>
    <t>Tamil Nadu</t>
  </si>
  <si>
    <t>Chennai</t>
  </si>
  <si>
    <t>Anita</t>
  </si>
  <si>
    <t>Laptop</t>
  </si>
  <si>
    <t>ORD1008</t>
  </si>
  <si>
    <t>ORD1009</t>
  </si>
  <si>
    <t>Rice</t>
  </si>
  <si>
    <t>ORD1010</t>
  </si>
  <si>
    <t>ORD1011</t>
  </si>
  <si>
    <t>Shirt</t>
  </si>
  <si>
    <t>ORD1012</t>
  </si>
  <si>
    <t>Maharashtra</t>
  </si>
  <si>
    <t>Mumbai</t>
  </si>
  <si>
    <t>Akash</t>
  </si>
  <si>
    <t>ORD1013</t>
  </si>
  <si>
    <t>East</t>
  </si>
  <si>
    <t>West Bengal</t>
  </si>
  <si>
    <t>Kolkata</t>
  </si>
  <si>
    <t>Sports</t>
  </si>
  <si>
    <t>Shoes</t>
  </si>
  <si>
    <t>ORD1014</t>
  </si>
  <si>
    <t>ORD1015</t>
  </si>
  <si>
    <t>Vikas</t>
  </si>
  <si>
    <t>ORD1016</t>
  </si>
  <si>
    <t>ORD1017</t>
  </si>
  <si>
    <t>ORD1018</t>
  </si>
  <si>
    <t>ORD1019</t>
  </si>
  <si>
    <t>Furniture</t>
  </si>
  <si>
    <t>Chair</t>
  </si>
  <si>
    <t>ORD1020</t>
  </si>
  <si>
    <t>Jeans</t>
  </si>
  <si>
    <t>ORD1021</t>
  </si>
  <si>
    <t>Odisha</t>
  </si>
  <si>
    <t>Bhubaneswar</t>
  </si>
  <si>
    <t>ORD1022</t>
  </si>
  <si>
    <t>Telangana</t>
  </si>
  <si>
    <t>Hyderabad</t>
  </si>
  <si>
    <t>ORD1023</t>
  </si>
  <si>
    <t>Desk</t>
  </si>
  <si>
    <t>ORD1024</t>
  </si>
  <si>
    <t>Bat</t>
  </si>
  <si>
    <t>ORD1025</t>
  </si>
  <si>
    <t>ORD1026</t>
  </si>
  <si>
    <t>Ravi</t>
  </si>
  <si>
    <t>Football</t>
  </si>
  <si>
    <t>ORD1027</t>
  </si>
  <si>
    <t>ORD1028</t>
  </si>
  <si>
    <t>ORD1029</t>
  </si>
  <si>
    <t>ORD1030</t>
  </si>
  <si>
    <t>ORD1031</t>
  </si>
  <si>
    <t>Sofa</t>
  </si>
  <si>
    <t>ORD1032</t>
  </si>
  <si>
    <t>ORD1033</t>
  </si>
  <si>
    <t>ORD1034</t>
  </si>
  <si>
    <t>ORD1035</t>
  </si>
  <si>
    <t>ORD1036</t>
  </si>
  <si>
    <t>Uttar Pradesh</t>
  </si>
  <si>
    <t>Lucknow</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</si>
  <si>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</si>
  <si>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</si>
  <si>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</si>
  <si>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</si>
  <si>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</si>
  <si>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</si>
  <si>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</si>
  <si>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</si>
  <si>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</si>
  <si>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</si>
  <si>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</si>
  <si>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</si>
  <si>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</si>
  <si>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</si>
  <si>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</si>
  <si>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</si>
  <si>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</si>
  <si>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</si>
  <si>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</si>
  <si>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</si>
  <si>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</si>
  <si>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</si>
  <si>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</si>
  <si>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</si>
  <si>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</si>
  <si>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</si>
  <si>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</si>
  <si>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</si>
  <si>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</si>
  <si>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</si>
  <si>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</si>
  <si>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</si>
  <si>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</si>
  <si>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</si>
  <si>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</si>
  <si>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</si>
  <si>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</si>
  <si>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</si>
  <si>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</si>
  <si>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</si>
  <si>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</si>
  <si>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</si>
  <si>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</si>
  <si>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</si>
  <si>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</si>
  <si>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</si>
  <si>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</si>
  <si>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</si>
  <si>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</si>
  <si>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</si>
  <si>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</si>
  <si>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</si>
  <si>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</si>
  <si>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</si>
  <si>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</si>
  <si>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</si>
  <si>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</si>
  <si>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</si>
  <si>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</si>
  <si>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</si>
  <si>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</si>
  <si>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</si>
  <si>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</si>
  <si>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</si>
  <si>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</si>
  <si>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</si>
  <si>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</si>
  <si>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</si>
  <si>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</si>
  <si>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</si>
  <si>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</si>
  <si>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</si>
  <si>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</si>
  <si>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</si>
  <si>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</si>
  <si>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</si>
  <si>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</si>
  <si>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</si>
  <si>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</si>
  <si>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</si>
  <si>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</si>
  <si>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</si>
  <si>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</si>
  <si>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</si>
  <si>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</si>
  <si>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</si>
  <si>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</si>
  <si>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</si>
  <si>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</si>
  <si>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</si>
  <si>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</si>
  <si>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</si>
  <si>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</si>
  <si>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</si>
  <si>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</si>
  <si>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</si>
  <si>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</si>
  <si>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</si>
  <si>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</si>
  <si>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</si>
  <si>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</si>
  <si>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</si>
  <si>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</si>
  <si>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</si>
  <si>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</si>
  <si>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</si>
  <si>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</si>
  <si>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</si>
  <si>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</si>
  <si>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</si>
  <si>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</si>
  <si>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</si>
  <si>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</si>
  <si>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</si>
  <si>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</si>
  <si>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</si>
  <si>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</si>
  <si>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</si>
  <si>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</si>
  <si>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</si>
  <si>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</si>
  <si>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</si>
  <si>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</si>
  <si>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</si>
  <si>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</si>
  <si>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</si>
  <si>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</si>
  <si>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</si>
  <si>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</si>
  <si>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</si>
  <si>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</si>
  <si>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</si>
  <si>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</si>
  <si>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</si>
  <si>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</si>
  <si>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</si>
  <si>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</si>
  <si>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</si>
  <si>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</si>
  <si>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</si>
  <si>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</si>
  <si>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</si>
  <si>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</si>
  <si>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</si>
  <si>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</si>
  <si>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</si>
  <si>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</si>
  <si>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</si>
  <si>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</si>
  <si>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</si>
  <si>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</si>
  <si>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</si>
  <si>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</si>
  <si>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</si>
  <si>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</si>
  <si>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</si>
  <si>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</si>
  <si>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</si>
  <si>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</si>
  <si>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</si>
  <si>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</si>
  <si>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</si>
  <si>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</si>
  <si>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</si>
  <si>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</si>
  <si>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</si>
  <si>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</si>
  <si>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</si>
  <si>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</si>
  <si>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</si>
  <si>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</si>
  <si>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</si>
  <si>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</si>
  <si>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</si>
  <si>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</si>
  <si>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</si>
  <si>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</si>
  <si>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</si>
  <si>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</si>
  <si>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</si>
  <si>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</si>
  <si>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</si>
  <si>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</si>
  <si>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</si>
  <si>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</si>
  <si>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</si>
  <si>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</si>
  <si>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</si>
  <si>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</si>
  <si>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</si>
  <si>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</si>
  <si>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</si>
  <si>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</si>
  <si>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</si>
  <si>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</si>
  <si>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</si>
  <si>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</si>
  <si>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</si>
  <si>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</si>
  <si>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</si>
  <si>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</si>
  <si>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</si>
  <si>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</si>
  <si>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</si>
  <si>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</si>
  <si>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</si>
  <si>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</si>
  <si>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</si>
  <si>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</si>
  <si>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</si>
  <si>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</si>
  <si>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</si>
  <si>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</si>
  <si>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</si>
  <si>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</si>
  <si>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</si>
  <si>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</si>
  <si>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</si>
  <si>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</si>
  <si>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</si>
  <si>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</si>
  <si>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</si>
  <si>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</si>
  <si>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</si>
  <si>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</si>
  <si>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</si>
  <si>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</si>
  <si>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</si>
  <si>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</si>
  <si>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</si>
  <si>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</si>
  <si>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</si>
  <si>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</si>
  <si>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</si>
  <si>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</si>
  <si>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</si>
  <si>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</si>
  <si>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</si>
  <si>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</si>
  <si>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</si>
  <si>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</si>
  <si>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</si>
  <si>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</si>
  <si>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</si>
  <si>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</si>
  <si>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</si>
  <si>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</si>
  <si>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</si>
  <si>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</si>
  <si>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</si>
  <si>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</si>
  <si>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</si>
  <si>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</si>
  <si>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</si>
  <si>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</si>
  <si>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</si>
  <si>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</si>
  <si>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</si>
  <si>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</si>
  <si>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</si>
  <si>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</si>
  <si>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</si>
  <si>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</si>
  <si>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</si>
  <si>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</si>
  <si>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</si>
  <si>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</si>
  <si>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</si>
  <si>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</si>
  <si>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</si>
  <si>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</si>
  <si>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</si>
  <si>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</si>
  <si>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</si>
  <si>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</si>
  <si>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</si>
  <si>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</si>
  <si>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</si>
  <si>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</si>
  <si>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</si>
  <si>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</si>
  <si>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</si>
  <si>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</si>
  <si>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</si>
  <si>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</si>
  <si>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</si>
  <si>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</si>
  <si>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</si>
  <si>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</si>
  <si>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</si>
  <si>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</si>
  <si>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</si>
  <si>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</si>
  <si>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</si>
  <si>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</si>
  <si>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</si>
  <si>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</si>
  <si>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</si>
  <si>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</si>
  <si>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</si>
  <si>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</si>
  <si>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</si>
  <si>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</si>
  <si>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</si>
  <si>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</si>
  <si>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</si>
  <si>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</si>
  <si>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</si>
  <si>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</si>
  <si>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</si>
  <si>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</si>
  <si>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</si>
  <si>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</si>
  <si>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</si>
  <si>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</si>
  <si>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</si>
  <si>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</si>
  <si>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</si>
  <si>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</si>
  <si>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</si>
  <si>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</si>
  <si>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</si>
  <si>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</si>
  <si>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</si>
  <si>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</si>
  <si>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</si>
  <si>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</si>
  <si>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</si>
  <si>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</si>
  <si>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</si>
  <si>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</si>
  <si>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</si>
  <si>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</si>
  <si>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</si>
  <si>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</si>
  <si>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</si>
  <si>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</si>
  <si>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</si>
  <si>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</si>
  <si>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</si>
  <si>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</si>
  <si>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</si>
  <si>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</si>
  <si>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</si>
  <si>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</si>
  <si>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</si>
  <si>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</si>
  <si>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</si>
  <si>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</si>
  <si>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</si>
  <si>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</si>
  <si>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</si>
  <si>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</si>
  <si>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</si>
  <si>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</si>
  <si>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</si>
  <si>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</si>
  <si>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</si>
  <si>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</si>
  <si>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</si>
  <si>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</si>
  <si>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</si>
  <si>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</si>
  <si>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</si>
  <si>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</si>
  <si>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</si>
  <si>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</si>
  <si>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</si>
  <si>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</si>
  <si>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</si>
  <si>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</si>
  <si>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</si>
  <si>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</si>
  <si>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</si>
  <si>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</si>
  <si>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</si>
  <si>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</si>
  <si>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</si>
  <si>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</si>
  <si>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</si>
  <si>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</si>
  <si>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</si>
  <si>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</si>
  <si>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</si>
  <si>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</si>
  <si>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</si>
  <si>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</si>
  <si>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</si>
  <si>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</si>
  <si>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</si>
  <si>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</si>
  <si>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</si>
  <si>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</si>
  <si>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</si>
  <si>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</si>
  <si>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</si>
  <si>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</si>
  <si>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</si>
  <si>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</si>
  <si>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</si>
  <si>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</si>
  <si>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</si>
  <si>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</si>
  <si>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</si>
  <si>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</si>
  <si>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</si>
  <si>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</si>
  <si>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</si>
  <si>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</si>
  <si>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</si>
  <si>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</si>
  <si>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</si>
  <si>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</si>
  <si>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</si>
  <si>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</si>
  <si>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</si>
  <si>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</si>
  <si>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</si>
  <si>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</si>
  <si>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</si>
  <si>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</si>
  <si>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</si>
  <si>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</si>
  <si>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</si>
  <si>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</si>
  <si>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</si>
  <si>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</si>
  <si>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</si>
  <si>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</si>
  <si>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</si>
  <si>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</si>
  <si>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</si>
  <si>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</si>
  <si>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</si>
  <si>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</si>
  <si>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</si>
  <si>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</si>
  <si>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</si>
  <si>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</si>
  <si>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</si>
  <si>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</si>
  <si>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</si>
  <si>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</si>
  <si>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</si>
  <si>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</si>
  <si>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</si>
  <si>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</si>
  <si>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</si>
  <si>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</si>
  <si>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</si>
  <si>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</si>
  <si>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</si>
  <si>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</si>
  <si>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</si>
  <si>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</si>
  <si>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</si>
  <si>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</si>
  <si>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</si>
  <si>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</si>
  <si>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</si>
  <si>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</si>
  <si>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</si>
  <si>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</si>
  <si>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</si>
  <si>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</si>
  <si>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</si>
  <si>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</si>
  <si>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</si>
  <si>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</si>
  <si>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</si>
  <si>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</si>
  <si>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</si>
  <si>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</si>
  <si>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</si>
  <si>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</si>
  <si>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</si>
  <si>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</si>
  <si>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</si>
  <si>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</si>
  <si>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</si>
  <si>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</si>
  <si>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</si>
  <si>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</si>
  <si>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</si>
  <si>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</si>
  <si>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</si>
  <si>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</si>
  <si>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</si>
  <si>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</si>
  <si>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</si>
  <si>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</si>
  <si>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</si>
  <si>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</si>
  <si>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</si>
  <si>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</si>
  <si>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</si>
  <si>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</si>
  <si>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</si>
  <si>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</si>
  <si>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</si>
  <si>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</si>
  <si>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</si>
  <si>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</si>
  <si>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</si>
  <si>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</si>
  <si>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</si>
  <si>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</si>
  <si>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</si>
  <si>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</si>
  <si>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</si>
  <si>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</si>
  <si>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</si>
  <si>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</si>
  <si>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</si>
  <si>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</si>
  <si>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</si>
  <si>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</si>
  <si>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</si>
  <si>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</si>
  <si>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</si>
  <si>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</si>
  <si>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</si>
  <si>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</si>
  <si>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</si>
  <si>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</si>
  <si>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</si>
  <si>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</si>
  <si>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</si>
  <si>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</si>
  <si>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</si>
  <si>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</si>
  <si>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</si>
  <si>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</si>
  <si>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</si>
  <si>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</si>
  <si>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</si>
  <si>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</si>
  <si>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</si>
  <si>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</si>
  <si>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</si>
  <si>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</si>
  <si>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</si>
  <si>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</si>
  <si>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</si>
  <si>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</si>
  <si>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</si>
  <si>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</si>
  <si>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</si>
  <si>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</si>
  <si>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</si>
  <si>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</si>
  <si>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</si>
  <si>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</si>
  <si>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</si>
  <si>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</si>
  <si>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</si>
  <si>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</si>
  <si>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</si>
  <si>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</si>
  <si>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</si>
  <si>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</si>
  <si>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</si>
  <si>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</si>
  <si>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</si>
  <si>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</si>
  <si>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</si>
  <si>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</si>
  <si>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</si>
  <si>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</si>
  <si>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</si>
  <si>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</si>
  <si>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</si>
  <si>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</si>
  <si>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</si>
  <si>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</si>
  <si>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</si>
  <si>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</si>
  <si>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</si>
  <si>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</si>
  <si>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</si>
  <si>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</si>
  <si>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</si>
  <si>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</si>
  <si>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</si>
  <si>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</si>
  <si>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</si>
  <si>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</si>
  <si>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</si>
  <si>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</si>
  <si>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</si>
  <si>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</si>
  <si>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</si>
  <si>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</si>
  <si>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</si>
  <si>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</si>
  <si>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</si>
  <si>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</si>
  <si>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</si>
  <si>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</si>
  <si>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</si>
  <si>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</si>
  <si>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</si>
  <si>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</si>
  <si>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</si>
  <si>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</si>
  <si>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</si>
  <si>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</si>
  <si>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</si>
  <si>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</si>
  <si>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</si>
  <si>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</si>
  <si>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</si>
  <si>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</si>
  <si>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</si>
  <si>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</si>
  <si>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</si>
  <si>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</si>
  <si>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</si>
  <si>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</si>
  <si>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</si>
  <si>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</si>
  <si>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</si>
  <si>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</si>
  <si>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</si>
  <si>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</si>
  <si>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</si>
  <si>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</si>
  <si>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</si>
  <si>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</si>
  <si>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</si>
  <si>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</si>
  <si>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</si>
  <si>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</si>
  <si>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</si>
  <si>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</si>
  <si>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</si>
  <si>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</si>
  <si>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</si>
  <si>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</si>
  <si>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</si>
  <si>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</si>
  <si>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</si>
  <si>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</si>
  <si>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</si>
  <si>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</si>
  <si>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</si>
  <si>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</si>
  <si>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</si>
  <si>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</si>
  <si>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</si>
  <si>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</si>
  <si>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</si>
  <si>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</si>
  <si>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</si>
  <si>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</si>
  <si>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</si>
  <si>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</si>
  <si>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</si>
  <si>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</si>
  <si>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</si>
  <si>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</si>
  <si>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</si>
  <si>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</si>
  <si>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</si>
  <si>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</si>
  <si>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</si>
  <si>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</si>
  <si>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</si>
  <si>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</si>
  <si>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</si>
  <si>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</si>
  <si>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</si>
  <si>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</si>
  <si>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</si>
  <si>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</si>
  <si>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</si>
  <si>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</si>
  <si>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</si>
  <si>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</si>
  <si>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</si>
  <si>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</si>
  <si>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</si>
  <si>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</si>
  <si>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</si>
  <si>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</si>
  <si>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</si>
  <si>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</si>
  <si>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</si>
  <si>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</si>
  <si>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</si>
  <si>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</si>
  <si>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</si>
  <si>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</si>
  <si>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</si>
  <si>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</si>
  <si>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</si>
  <si>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</si>
  <si>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</si>
  <si>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</si>
  <si>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</si>
  <si>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</si>
  <si>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</si>
  <si>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</si>
  <si>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</si>
  <si>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</si>
  <si>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</si>
  <si>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</si>
  <si>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</si>
  <si>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</si>
  <si>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</si>
  <si>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</si>
  <si>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</si>
  <si>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</si>
  <si>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</si>
  <si>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</si>
  <si>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</si>
  <si>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</si>
  <si>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</si>
  <si>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</si>
  <si>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</si>
  <si>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</si>
  <si>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</si>
  <si>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</si>
  <si>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</si>
  <si>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</si>
  <si>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</si>
  <si>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</si>
  <si>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</si>
  <si>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</si>
  <si>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</si>
  <si>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</si>
  <si>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</si>
  <si>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</si>
  <si>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</si>
  <si>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</si>
  <si>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</si>
  <si>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</si>
  <si>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</si>
  <si>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</si>
  <si>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</si>
  <si>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</si>
  <si>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</si>
  <si>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</si>
  <si>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</si>
  <si>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</si>
  <si>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</si>
  <si>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</si>
  <si>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</si>
  <si>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</si>
  <si>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</si>
  <si>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</si>
  <si>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</si>
  <si>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</si>
  <si>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</si>
  <si>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</si>
  <si>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</si>
  <si>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</si>
  <si>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</si>
  <si>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</si>
  <si>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</si>
  <si>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</si>
  <si>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</si>
  <si>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</si>
  <si>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</si>
  <si>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</si>
  <si>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</si>
  <si>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</si>
  <si>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</si>
  <si>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</si>
  <si>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</si>
  <si>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</si>
  <si>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</si>
  <si>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</si>
  <si>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</si>
  <si>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</si>
  <si>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</si>
  <si>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</si>
  <si>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</si>
  <si>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</si>
  <si>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</si>
  <si>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</si>
  <si>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</si>
  <si>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</si>
  <si>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</si>
  <si>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</si>
  <si>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</si>
  <si>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</si>
  <si>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</si>
  <si>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</si>
  <si>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</si>
  <si>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</si>
  <si>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</si>
  <si>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</si>
  <si>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</si>
  <si>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</si>
  <si>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</si>
  <si>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</si>
  <si>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</si>
  <si>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</si>
  <si>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</si>
  <si>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</si>
  <si>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</si>
  <si>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</si>
  <si>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</si>
  <si>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</si>
  <si>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</si>
  <si>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</si>
  <si>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</si>
  <si>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</si>
  <si>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</si>
  <si>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</si>
  <si>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</si>
  <si>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</si>
  <si>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</si>
  <si>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</si>
  <si>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</si>
  <si>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</si>
  <si>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</si>
  <si>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</si>
  <si>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</si>
  <si>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</si>
  <si>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</si>
  <si>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</si>
  <si>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</si>
  <si>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</si>
  <si>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</si>
  <si>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</si>
  <si>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</si>
  <si>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</si>
  <si>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</si>
  <si>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</si>
  <si>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</si>
  <si>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</si>
  <si>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</si>
  <si>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</si>
  <si>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</si>
  <si>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</si>
  <si>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</si>
  <si>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</si>
  <si>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</si>
  <si>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</si>
  <si>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</si>
  <si>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</si>
  <si>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</si>
  <si>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</si>
  <si>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</si>
  <si>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</si>
  <si>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</si>
  <si>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</si>
  <si>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</si>
  <si>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</si>
  <si>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</si>
  <si>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</si>
  <si>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</si>
  <si>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</si>
  <si>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</si>
  <si>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</si>
  <si>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</si>
  <si>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</si>
  <si>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</si>
  <si>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</si>
  <si>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</si>
  <si>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</si>
  <si>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</si>
  <si>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</si>
  <si>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</si>
  <si>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</si>
  <si>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</si>
  <si>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</si>
  <si>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</si>
  <si>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</si>
  <si>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</si>
  <si>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</si>
  <si>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</si>
  <si>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</si>
  <si>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</si>
  <si>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</si>
  <si>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</si>
  <si>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</si>
  <si>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</si>
  <si>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</si>
  <si>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</si>
  <si>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</si>
  <si>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</si>
  <si>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</si>
  <si>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</si>
  <si>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</si>
  <si>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</si>
  <si>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</si>
  <si>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</si>
  <si>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</si>
  <si>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</si>
  <si>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</si>
  <si>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</si>
  <si>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</si>
  <si>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</si>
  <si>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</si>
  <si>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</si>
  <si>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</si>
  <si>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</si>
  <si>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</si>
  <si>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</si>
  <si>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</si>
  <si>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</si>
  <si>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</si>
  <si>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</si>
  <si>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</si>
  <si>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</si>
  <si>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</si>
  <si>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</si>
  <si>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</si>
  <si>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</si>
  <si>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</si>
  <si>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</si>
  <si>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</si>
  <si>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</si>
  <si>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</si>
  <si>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</si>
  <si>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</si>
  <si>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</si>
  <si>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</si>
  <si>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</si>
  <si>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</si>
  <si>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</si>
  <si>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</si>
  <si>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</si>
  <si>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</si>
  <si>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</si>
  <si>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</si>
  <si>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</si>
  <si>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</si>
  <si>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</si>
  <si>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</si>
  <si>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</si>
  <si>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</si>
  <si>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</si>
  <si>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</si>
  <si>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</si>
  <si>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</si>
  <si>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</si>
  <si>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</si>
  <si>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</si>
  <si>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</si>
  <si>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</si>
  <si>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</si>
  <si>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</si>
  <si>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</si>
  <si>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</si>
  <si>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</si>
  <si>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</si>
  <si>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</si>
  <si>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</si>
  <si>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</si>
  <si>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</si>
  <si>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</si>
  <si>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</si>
  <si>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</si>
  <si>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</si>
  <si>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</si>
  <si>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</si>
  <si>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</si>
  <si>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</si>
  <si>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</si>
  <si>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</si>
  <si>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Sum of Sales Amount</t>
  </si>
  <si>
    <t>Sum of Profit</t>
  </si>
  <si>
    <t>Sum of Discount %</t>
  </si>
  <si>
    <t>Sum of Quantity</t>
  </si>
  <si>
    <t>Row Labels</t>
  </si>
  <si>
    <t>Count of Order ID</t>
  </si>
  <si>
    <t>display</t>
  </si>
  <si>
    <t>total orders</t>
  </si>
  <si>
    <t xml:space="preserve">profit </t>
  </si>
  <si>
    <t>discount%</t>
  </si>
  <si>
    <t>total quantity</t>
  </si>
  <si>
    <t>amount</t>
  </si>
  <si>
    <t>Average of Discount %</t>
  </si>
  <si>
    <t>profit margin</t>
  </si>
  <si>
    <t>top 10 products</t>
  </si>
  <si>
    <t>products</t>
  </si>
  <si>
    <t>QTY MAP</t>
  </si>
  <si>
    <t>PROFIT MAP</t>
  </si>
  <si>
    <t>STATE</t>
  </si>
  <si>
    <t>QTY</t>
  </si>
  <si>
    <t>PROFIT</t>
  </si>
  <si>
    <t xml:space="preserve">MAP </t>
  </si>
  <si>
    <t>TOP 5 SALES PERSON</t>
  </si>
  <si>
    <t>MONTHLY SALES TREND</t>
  </si>
  <si>
    <t>Jan</t>
  </si>
  <si>
    <t>Feb</t>
  </si>
  <si>
    <t>Mar</t>
  </si>
  <si>
    <t>Apr</t>
  </si>
  <si>
    <t>May</t>
  </si>
  <si>
    <t>Jun</t>
  </si>
  <si>
    <t>Jul</t>
  </si>
  <si>
    <t>Aug</t>
  </si>
  <si>
    <t>Sep</t>
  </si>
  <si>
    <t>Oct</t>
  </si>
  <si>
    <t>Nov</t>
  </si>
  <si>
    <t>Dec</t>
  </si>
  <si>
    <t>AVERAGE DISCOUNT BY STATE</t>
  </si>
  <si>
    <t>PAYMENT MODE DISTRIBUTION</t>
  </si>
  <si>
    <t>Count of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</si>
</sst>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mm:ss"/>
    <numFmt numFmtId="172" formatCode="&quot;₹&quot;\ #,##0.0"/>
    <numFmt numFmtId="173" formatCode="&quot;₹&quot;\ #,##0"/>
    <numFmt numFmtId="174" formatCode="[$₹-44A]#,##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173" fontId="0" fillId="0" borderId="0" xfId="0" applyNumberFormat="1"/>
    <xf numFmtId="174" fontId="0" fillId="0" borderId="0" xfId="0" applyNumberFormat="1"/>
  </cellXfs>
  <cellStyles count="1">
    <cellStyle name="Normal" xfId="0" builtinId="0"/>
  </cellStyles>
  <dxfs count="1">
    <dxf>
      <numFmt numFmtId="164" formatCode="yyyy\-mm\-dd\ h:mm:ss"/>
    </dxf>
  </dxfs>
  <tableStyles count="0" defaultTableStyle="TableStyleMedium9" defaultPivotStyle="PivotStyleLight16"/>
  <colors>
    <mruColors>
      <color rgb="FF60A500"/>
      <color rgb="FFA6E26C"/>
      <color rgb="FF1C1C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[OWN DASHBOARD.xlsx]CALCULATIONS!top 10 products</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Garamond" panose="02020404030301010803" pitchFamily="18" charset="0"/>
                <a:ea typeface="+mn-ea"/>
                <a:cs typeface="+mn-cs"/>
              </a:defRPr>
            </a:pPr>
            <a:r>
              <a:rPr lang="en-US" sz="1400" b="1" i="0" u="none" strike="noStrike" kern="1200" spc="0" baseline="0">
                <a:solidFill>
                  <a:schemeClr val="tx1"/>
                </a:solidFill>
                <a:latin typeface="Garamond" panose="02020404030301010803" pitchFamily="18" charset="0"/>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8466791997023"/>
          <c:y val="0.24476633129192185"/>
          <c:w val="0.63227202136065175"/>
          <c:h val="0.6293157626130067"/>
        </c:manualLayout>
      </c:layout>
      <c:barChart>
        <c:barDir val="bar"/>
        <c:grouping val="clustered"/>
        <c:varyColors val="0"/>
        <c:ser>
          <c:idx val="0"/>
          <c:order val="0"/>
          <c:tx>
            <c:strRef>
              <c:f>CALCULATIONS!$B$12</c:f>
              <c:strCache>
                <c:ptCount val="1"/>
                <c:pt idx="0">
                  <c:v>Total</c:v>
                </c:pt>
              </c:strCache>
            </c:strRef>
          </c:tx>
          <c:spPr>
            <a:solidFill>
              <a:srgbClr val="60A500"/>
            </a:solidFill>
            <a:ln>
              <a:noFill/>
            </a:ln>
            <a:effectLst/>
          </c:spPr>
          <c:invertIfNegative val="0"/>
          <c:cat>
            <c:strRef>
              <c:f>CALCULATIONS!$A$13:$A$22</c:f>
              <c:strCache>
                <c:ptCount val="10"/>
                <c:pt idx="0">
                  <c:v>Rice</c:v>
                </c:pt>
                <c:pt idx="1">
                  <c:v>Phone</c:v>
                </c:pt>
                <c:pt idx="2">
                  <c:v>Shirt</c:v>
                </c:pt>
                <c:pt idx="3">
                  <c:v>Bat</c:v>
                </c:pt>
                <c:pt idx="4">
                  <c:v>Jacket</c:v>
                </c:pt>
                <c:pt idx="5">
                  <c:v>Desk</c:v>
                </c:pt>
                <c:pt idx="6">
                  <c:v>Oil</c:v>
                </c:pt>
                <c:pt idx="7">
                  <c:v>Sofa</c:v>
                </c:pt>
                <c:pt idx="8">
                  <c:v>Laptop</c:v>
                </c:pt>
                <c:pt idx="9">
                  <c:v>Headphones</c:v>
                </c:pt>
              </c:strCache>
            </c:strRef>
          </c:cat>
          <c:val>
            <c:numRef>
              <c:f>CALCULATIONS!$B$13:$B$22</c:f>
              <c:numCache>
                <c:formatCode>[$₹-44A]#,##0</c:formatCode>
                <c:ptCount val="10"/>
                <c:pt idx="0">
                  <c:v>16176463.25</c:v>
                </c:pt>
                <c:pt idx="1">
                  <c:v>15516837.15</c:v>
                </c:pt>
                <c:pt idx="2">
                  <c:v>15253892.1</c:v>
                </c:pt>
                <c:pt idx="3">
                  <c:v>15223738.449999999</c:v>
                </c:pt>
                <c:pt idx="4">
                  <c:v>14993820.25</c:v>
                </c:pt>
                <c:pt idx="5">
                  <c:v>14667817.9</c:v>
                </c:pt>
                <c:pt idx="6">
                  <c:v>14629893.85</c:v>
                </c:pt>
                <c:pt idx="7">
                  <c:v>13774474.949999999</c:v>
                </c:pt>
                <c:pt idx="8">
                  <c:v>12767460.6</c:v>
                </c:pt>
                <c:pt idx="9">
                  <c:v>12355954.9</c:v>
                </c:pt>
              </c:numCache>
            </c:numRef>
          </c:val>
          <c:extLst>
            <c:ext xmlns:c16="http://schemas.microsoft.com/office/drawing/2014/chart" uri="{C3380CC4-5D6E-409C-BE32-E72D297353CC}">
              <c16:uniqueId val="{00000000-8E4C-4CB2-9ADA-3294A82085BD}"/>
            </c:ext>
          </c:extLst>
        </c:ser>
        <c:dLbls>
          <c:showLegendKey val="0"/>
          <c:showVal val="0"/>
          <c:showCatName val="0"/>
          <c:showSerName val="0"/>
          <c:showPercent val="0"/>
          <c:showBubbleSize val="0"/>
        </c:dLbls>
        <c:gapWidth val="182"/>
        <c:axId val="1613990175"/>
        <c:axId val="1613990655"/>
      </c:barChart>
      <c:catAx>
        <c:axId val="1613990175"/>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3990655"/>
        <c:crosses val="autoZero"/>
        <c:auto val="1"/>
        <c:lblAlgn val="ctr"/>
        <c:lblOffset val="100"/>
        <c:noMultiLvlLbl val="0"/>
      </c:catAx>
      <c:valAx>
        <c:axId val="1613990655"/>
        <c:scaling>
          <c:orientation val="minMax"/>
        </c:scaling>
        <c:delete val="0"/>
        <c:axPos val="t"/>
        <c:numFmt formatCode="[$₹-44A]#,##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3990175"/>
        <c:crosses val="autoZero"/>
        <c:crossBetween val="between"/>
        <c:dispUnits>
          <c:builtInUnit val="hundred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[OWN DASHBOARD.xlsx]CALCULATIONS!TOP 5 SALES PERSON</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Garamond" panose="02020404030301010803" pitchFamily="18" charset="0"/>
              </a:rPr>
              <a:t>TOP</a:t>
            </a:r>
            <a:r>
              <a:rPr lang="en-IN" b="1" baseline="0">
                <a:solidFill>
                  <a:schemeClr val="tx1"/>
                </a:solidFill>
                <a:latin typeface="Garamond" panose="02020404030301010803" pitchFamily="18" charset="0"/>
              </a:rPr>
              <a:t> 5 SALES PERSON</a:t>
            </a:r>
            <a:endParaRPr lang="en-IN" b="1">
              <a:solidFill>
                <a:schemeClr val="tx1"/>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0A5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CALCULATIONS!$B$39</c:f>
              <c:strCache>
                <c:ptCount val="1"/>
                <c:pt idx="0">
                  <c:v>Total</c:v>
                </c:pt>
              </c:strCache>
            </c:strRef>
          </c:tx>
          <c:spPr>
            <a:solidFill>
              <a:srgbClr val="60A500"/>
            </a:solidFill>
            <a:ln>
              <a:noFill/>
            </a:ln>
            <a:effectLst/>
            <a:sp3d/>
          </c:spPr>
          <c:invertIfNegative val="0"/>
          <c:cat>
            <c:strRef>
              <c:f>CALCULATIONS!$A$40:$A$44</c:f>
              <c:strCache>
                <c:ptCount val="5"/>
                <c:pt idx="0">
                  <c:v>Vikas</c:v>
                </c:pt>
                <c:pt idx="1">
                  <c:v>Sneha</c:v>
                </c:pt>
                <c:pt idx="2">
                  <c:v>Anita</c:v>
                </c:pt>
                <c:pt idx="3">
                  <c:v>Ravi</c:v>
                </c:pt>
                <c:pt idx="4">
                  <c:v>Rahul</c:v>
                </c:pt>
              </c:strCache>
            </c:strRef>
          </c:cat>
          <c:val>
            <c:numRef>
              <c:f>CALCULATIONS!$B$40:$B$44</c:f>
              <c:numCache>
                <c:formatCode>General</c:formatCode>
                <c:ptCount val="5"/>
                <c:pt idx="0">
                  <c:v>29171760.449999999</c:v>
                </c:pt>
                <c:pt idx="1">
                  <c:v>26665439.600000001</c:v>
                </c:pt>
                <c:pt idx="2">
                  <c:v>26629936.399999999</c:v>
                </c:pt>
                <c:pt idx="3">
                  <c:v>25677514.699999999</c:v>
                </c:pt>
                <c:pt idx="4">
                  <c:v>25471738.399999999</c:v>
                </c:pt>
              </c:numCache>
            </c:numRef>
          </c:val>
          <c:extLst>
            <c:ext xmlns:c16="http://schemas.microsoft.com/office/drawing/2014/chart" uri="{C3380CC4-5D6E-409C-BE32-E72D297353CC}">
              <c16:uniqueId val="{00000000-F03E-4402-A4D6-19B16F2619B0}"/>
            </c:ext>
          </c:extLst>
        </c:ser>
        <c:dLbls>
          <c:showLegendKey val="0"/>
          <c:showVal val="0"/>
          <c:showCatName val="0"/>
          <c:showSerName val="0"/>
          <c:showPercent val="0"/>
          <c:showBubbleSize val="0"/>
        </c:dLbls>
        <c:gapWidth val="150"/>
        <c:shape val="box"/>
        <c:axId val="1629730543"/>
        <c:axId val="1629731503"/>
        <c:axId val="0"/>
      </c:bar3DChart>
      <c:catAx>
        <c:axId val="1629730543"/>
        <c:scaling>
          <c:orientation val="maxMin"/>
        </c:scaling>
        <c:delete val="0"/>
        <c:axPos val="l"/>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29731503"/>
        <c:crosses val="autoZero"/>
        <c:auto val="1"/>
        <c:lblAlgn val="ctr"/>
        <c:lblOffset val="100"/>
        <c:noMultiLvlLbl val="0"/>
      </c:catAx>
      <c:valAx>
        <c:axId val="16297315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9730543"/>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[OWN DASHBOARD.xlsx]CALCULATIONS!PivotTable7</c:name>
    <c:fmtId val="34"/>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Garamond" panose="02020404030301010803" pitchFamily="18" charset="0"/>
                <a:ea typeface="+mn-ea"/>
                <a:cs typeface="+mn-cs"/>
              </a:defRPr>
            </a:pPr>
            <a:r>
              <a:rPr lang="en-IN" sz="1400" b="1" i="0" u="none" strike="noStrike" kern="1200" spc="0" baseline="0">
                <a:solidFill>
                  <a:schemeClr val="tx1"/>
                </a:solidFill>
                <a:latin typeface="Garamond" panose="02020404030301010803" pitchFamily="18" charset="0"/>
                <a:ea typeface="+mn-ea"/>
                <a:cs typeface="+mn-cs"/>
              </a:rPr>
              <a:t>MONTLY TREND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Garamond" panose="020204040303010108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50000"/>
              </a:schemeClr>
            </a:solidFill>
            <a:round/>
          </a:ln>
          <a:effectLst/>
        </c:spPr>
        <c:marker>
          <c:symbol val="circle"/>
          <c:size val="5"/>
          <c:spPr>
            <a:solidFill>
              <a:srgbClr val="FFFF00">
                <a:alpha val="95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0A5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CALCULATIONS!$B$47</c:f>
              <c:strCache>
                <c:ptCount val="1"/>
                <c:pt idx="0">
                  <c:v>Sum of Sales Amount</c:v>
                </c:pt>
              </c:strCache>
            </c:strRef>
          </c:tx>
          <c:spPr>
            <a:ln w="28575" cap="rnd">
              <a:solidFill>
                <a:schemeClr val="accent3">
                  <a:lumMod val="50000"/>
                </a:schemeClr>
              </a:solidFill>
              <a:round/>
            </a:ln>
            <a:effectLst/>
          </c:spPr>
          <c:marker>
            <c:symbol val="circle"/>
            <c:size val="5"/>
            <c:spPr>
              <a:solidFill>
                <a:srgbClr val="FFFF00">
                  <a:alpha val="95000"/>
                </a:srgbClr>
              </a:solidFill>
              <a:ln w="9525">
                <a:solidFill>
                  <a:schemeClr val="accent1"/>
                </a:solidFill>
              </a:ln>
              <a:effectLst/>
            </c:spPr>
          </c:marker>
          <c:cat>
            <c:strRef>
              <c:f>CALCULATIONS!$A$48:$A$59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CALCULATIONS!$B$48:$B$59</c:f>
              <c:numCache>
                <c:formatCode>"₹"\ #,##0</c:formatCode>
                <c:ptCount val="12"/>
                <c:pt idx="0">
                  <c:v>15443541.6</c:v>
                </c:pt>
                <c:pt idx="1">
                  <c:v>11791139.199999999</c:v>
                </c:pt>
                <c:pt idx="2">
                  <c:v>21922387.100000001</c:v>
                </c:pt>
                <c:pt idx="3">
                  <c:v>15363197.25</c:v>
                </c:pt>
                <c:pt idx="4">
                  <c:v>18945591.100000001</c:v>
                </c:pt>
                <c:pt idx="5">
                  <c:v>13906126.65</c:v>
                </c:pt>
                <c:pt idx="6">
                  <c:v>17258482.449999999</c:v>
                </c:pt>
                <c:pt idx="7">
                  <c:v>18723168.199999999</c:v>
                </c:pt>
                <c:pt idx="8">
                  <c:v>16258661.65</c:v>
                </c:pt>
                <c:pt idx="9">
                  <c:v>17084158.25</c:v>
                </c:pt>
                <c:pt idx="10">
                  <c:v>22319951.399999999</c:v>
                </c:pt>
                <c:pt idx="11">
                  <c:v>13838342.5</c:v>
                </c:pt>
              </c:numCache>
            </c:numRef>
          </c:val>
          <c:smooth val="0"/>
          <c:extLst>
            <c:ext xmlns:c16="http://schemas.microsoft.com/office/drawing/2014/chart" uri="{C3380CC4-5D6E-409C-BE32-E72D297353CC}">
              <c16:uniqueId val="{00000000-67FE-40AD-9BBE-A421643F31ED}"/>
            </c:ext>
          </c:extLst>
        </c:ser>
        <c:dLbls>
          <c:showLegendKey val="0"/>
          <c:showVal val="0"/>
          <c:showCatName val="0"/>
          <c:showSerName val="0"/>
          <c:showPercent val="0"/>
          <c:showBubbleSize val="0"/>
        </c:dLbls>
        <c:marker val="1"/>
        <c:smooth val="0"/>
        <c:axId val="1737096383"/>
        <c:axId val="1737099743"/>
      </c:lineChart>
      <c:lineChart>
        <c:grouping val="standard"/>
        <c:varyColors val="0"/>
        <c:ser>
          <c:idx val="1"/>
          <c:order val="1"/>
          <c:tx>
            <c:strRef>
              <c:f>CALCULATIONS!$C$47</c:f>
              <c:strCache>
                <c:ptCount val="1"/>
                <c:pt idx="0">
                  <c:v>Sum of Quantity</c:v>
                </c:pt>
              </c:strCache>
            </c:strRef>
          </c:tx>
          <c:spPr>
            <a:ln w="28575" cap="rnd">
              <a:solidFill>
                <a:srgbClr val="60A500"/>
              </a:solidFill>
              <a:round/>
            </a:ln>
            <a:effectLst/>
          </c:spPr>
          <c:marker>
            <c:symbol val="none"/>
          </c:marker>
          <c:cat>
            <c:strRef>
              <c:f>CALCULATIONS!$A$48:$A$59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CALCULATIONS!$C$48:$C$59</c:f>
              <c:numCache>
                <c:formatCode>General</c:formatCode>
                <c:ptCount val="12"/>
                <c:pt idx="0">
                  <c:v>431</c:v>
                </c:pt>
                <c:pt idx="1">
                  <c:v>341</c:v>
                </c:pt>
                <c:pt idx="2">
                  <c:v>591</c:v>
                </c:pt>
                <c:pt idx="3">
                  <c:v>420</c:v>
                </c:pt>
                <c:pt idx="4">
                  <c:v>523</c:v>
                </c:pt>
                <c:pt idx="5">
                  <c:v>413</c:v>
                </c:pt>
                <c:pt idx="6">
                  <c:v>474</c:v>
                </c:pt>
                <c:pt idx="7">
                  <c:v>483</c:v>
                </c:pt>
                <c:pt idx="8">
                  <c:v>443</c:v>
                </c:pt>
                <c:pt idx="9">
                  <c:v>467</c:v>
                </c:pt>
                <c:pt idx="10">
                  <c:v>547</c:v>
                </c:pt>
                <c:pt idx="11">
                  <c:v>370</c:v>
                </c:pt>
              </c:numCache>
            </c:numRef>
          </c:val>
          <c:smooth val="0"/>
          <c:extLst>
            <c:ext xmlns:c16="http://schemas.microsoft.com/office/drawing/2014/chart" uri="{C3380CC4-5D6E-409C-BE32-E72D297353CC}">
              <c16:uniqueId val="{00000001-67FE-40AD-9BBE-A421643F31ED}"/>
            </c:ext>
          </c:extLst>
        </c:ser>
        <c:dLbls>
          <c:showLegendKey val="0"/>
          <c:showVal val="0"/>
          <c:showCatName val="0"/>
          <c:showSerName val="0"/>
          <c:showPercent val="0"/>
          <c:showBubbleSize val="0"/>
        </c:dLbls>
        <c:marker val="1"/>
        <c:smooth val="0"/>
        <c:axId val="1654332271"/>
        <c:axId val="1654327951"/>
      </c:lineChart>
      <c:catAx>
        <c:axId val="17370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7099743"/>
        <c:crosses val="autoZero"/>
        <c:auto val="1"/>
        <c:lblAlgn val="ctr"/>
        <c:lblOffset val="100"/>
        <c:noMultiLvlLbl val="0"/>
      </c:catAx>
      <c:valAx>
        <c:axId val="173709974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7096383"/>
        <c:crosses val="autoZero"/>
        <c:crossBetween val="between"/>
      </c:valAx>
      <c:valAx>
        <c:axId val="16543279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332271"/>
        <c:crosses val="max"/>
        <c:crossBetween val="between"/>
      </c:valAx>
      <c:catAx>
        <c:axId val="1654332271"/>
        <c:scaling>
          <c:orientation val="minMax"/>
        </c:scaling>
        <c:delete val="1"/>
        <c:axPos val="b"/>
        <c:numFmt formatCode="General" sourceLinked="1"/>
        <c:majorTickMark val="out"/>
        <c:minorTickMark val="none"/>
        <c:tickLblPos val="nextTo"/>
        <c:crossAx val="1654327951"/>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[OWN DASHBOARD.xlsx]CALCULATIONS!AVG DISCOUNT BY STATE</c:name>
    <c:fmtId val="47"/>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Garamond" panose="02020404030301010803" pitchFamily="18" charset="0"/>
                <a:ea typeface="+mn-ea"/>
                <a:cs typeface="+mn-cs"/>
              </a:defRPr>
            </a:pPr>
            <a:r>
              <a:rPr lang="en-US" sz="1400" b="1" i="0" u="none" strike="noStrike" kern="1200" spc="0" baseline="0">
                <a:solidFill>
                  <a:schemeClr val="tx1"/>
                </a:solidFill>
                <a:latin typeface="Garamond" panose="02020404030301010803" pitchFamily="18" charset="0"/>
                <a:ea typeface="+mn-ea"/>
                <a:cs typeface="+mn-cs"/>
              </a:rPr>
              <a:t>AVG DISCOUNT BY STATE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Garamond" panose="02020404030301010803" pitchFamily="18" charset="0"/>
              <a:ea typeface="+mn-ea"/>
              <a:cs typeface="+mn-cs"/>
            </a:defRPr>
          </a:pPr>
          <a:endParaRPr lang="en-US"/>
        </a:p>
      </c:txPr>
    </c:title>
    <c:autoTitleDeleted val="0"/>
    <c:pivotFmts>
      <c:pivotFmt>
        <c:idx val="0"/>
        <c:spPr>
          <a:solidFill>
            <a:srgbClr val="60A500"/>
          </a:solidFill>
          <a:ln w="0">
            <a:solidFill>
              <a:srgbClr val="60A5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0A500"/>
          </a:solidFill>
          <a:ln w="0">
            <a:solidFill>
              <a:srgbClr val="60A5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0A500"/>
          </a:solidFill>
          <a:ln w="0">
            <a:solidFill>
              <a:srgbClr val="60A5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CALCULATIONS!$B$62</c:f>
              <c:strCache>
                <c:ptCount val="1"/>
                <c:pt idx="0">
                  <c:v>Total</c:v>
                </c:pt>
              </c:strCache>
            </c:strRef>
          </c:tx>
          <c:spPr>
            <a:solidFill>
              <a:srgbClr val="60A500"/>
            </a:solidFill>
            <a:ln w="0">
              <a:solidFill>
                <a:srgbClr val="60A500"/>
              </a:solidFill>
            </a:ln>
            <a:effectLst/>
          </c:spPr>
          <c:invertIfNegative val="0"/>
          <c:cat>
            <c:strRef>
              <c:f>CALCULATIONS!$A$63:$A$72</c:f>
              <c:strCache>
                <c:ptCount val="10"/>
                <c:pt idx="0">
                  <c:v>Delhi</c:v>
                </c:pt>
                <c:pt idx="1">
                  <c:v>Gujarat</c:v>
                </c:pt>
                <c:pt idx="2">
                  <c:v>Karnataka</c:v>
                </c:pt>
                <c:pt idx="3">
                  <c:v>Maharashtra</c:v>
                </c:pt>
                <c:pt idx="4">
                  <c:v>Odisha</c:v>
                </c:pt>
                <c:pt idx="5">
                  <c:v>Punjab</c:v>
                </c:pt>
                <c:pt idx="6">
                  <c:v>Tamil Nadu</c:v>
                </c:pt>
                <c:pt idx="7">
                  <c:v>Telangana</c:v>
                </c:pt>
                <c:pt idx="8">
                  <c:v>Uttar Pradesh</c:v>
                </c:pt>
                <c:pt idx="9">
                  <c:v>West Bengal</c:v>
                </c:pt>
              </c:strCache>
            </c:strRef>
          </c:cat>
          <c:val>
            <c:numRef>
              <c:f>CALCULATIONS!$B$63:$B$72</c:f>
              <c:numCache>
                <c:formatCode>General</c:formatCode>
                <c:ptCount val="10"/>
                <c:pt idx="0">
                  <c:v>9.9342105263157894</c:v>
                </c:pt>
                <c:pt idx="1">
                  <c:v>10.511811023622048</c:v>
                </c:pt>
                <c:pt idx="2">
                  <c:v>9.9473684210526319</c:v>
                </c:pt>
                <c:pt idx="3">
                  <c:v>9.8230088495575227</c:v>
                </c:pt>
                <c:pt idx="4">
                  <c:v>10.546218487394958</c:v>
                </c:pt>
                <c:pt idx="5">
                  <c:v>9.3827160493827169</c:v>
                </c:pt>
                <c:pt idx="6">
                  <c:v>9.8101265822784818</c:v>
                </c:pt>
                <c:pt idx="7">
                  <c:v>10.86734693877551</c:v>
                </c:pt>
                <c:pt idx="8">
                  <c:v>9.2857142857142865</c:v>
                </c:pt>
                <c:pt idx="9">
                  <c:v>9.9629629629629637</c:v>
                </c:pt>
              </c:numCache>
            </c:numRef>
          </c:val>
          <c:extLst>
            <c:ext xmlns:c16="http://schemas.microsoft.com/office/drawing/2014/chart" uri="{C3380CC4-5D6E-409C-BE32-E72D297353CC}">
              <c16:uniqueId val="{00000000-25F0-438D-8F12-B95198A834E3}"/>
            </c:ext>
          </c:extLst>
        </c:ser>
        <c:dLbls>
          <c:showLegendKey val="0"/>
          <c:showVal val="0"/>
          <c:showCatName val="0"/>
          <c:showSerName val="0"/>
          <c:showPercent val="0"/>
          <c:showBubbleSize val="0"/>
        </c:dLbls>
        <c:gapWidth val="0"/>
        <c:overlap val="-27"/>
        <c:axId val="1654333711"/>
        <c:axId val="1654338031"/>
      </c:barChart>
      <c:catAx>
        <c:axId val="1654333711"/>
        <c:scaling>
          <c:orientation val="minMax"/>
        </c:scaling>
        <c:delete val="0"/>
        <c:axPos val="b"/>
        <c:numFmt formatCode="General" sourceLinked="1"/>
        <c:majorTickMark val="none"/>
        <c:minorTickMark val="none"/>
        <c:tickLblPos val="nextTo"/>
        <c:spPr>
          <a:noFill/>
          <a:ln w="9525" cap="flat" cmpd="sng" algn="ctr">
            <a:solidFill>
              <a:srgbClr val="60A500"/>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338031"/>
        <c:crosses val="autoZero"/>
        <c:auto val="1"/>
        <c:lblAlgn val="ctr"/>
        <c:lblOffset val="100"/>
        <c:noMultiLvlLbl val="0"/>
      </c:catAx>
      <c:valAx>
        <c:axId val="1654338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433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[OWN DASHBOARD.xlsx]CALCULATIONS!PivotTable9</c:name>
    <c:fmtId val="52"/>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Garamond" panose="02020404030301010803" pitchFamily="18" charset="0"/>
                <a:ea typeface="+mn-ea"/>
                <a:cs typeface="+mn-cs"/>
              </a:defRPr>
            </a:pPr>
            <a:r>
              <a:rPr lang="en-IN" sz="1400" b="1" i="0" u="none" strike="noStrike" kern="1200" spc="0" baseline="0">
                <a:solidFill>
                  <a:schemeClr val="tx1"/>
                </a:solidFill>
                <a:latin typeface="Garamond" panose="02020404030301010803" pitchFamily="18" charset="0"/>
                <a:ea typeface="+mn-ea"/>
                <a:cs typeface="+mn-cs"/>
              </a:rPr>
              <a:t>CUSTOMER TYPE DISTRIBUTION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Garamond" panose="020204040303010108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60A500"/>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spc="0" baseline="0">
                  <a:solidFill>
                    <a:schemeClr val="tx1"/>
                  </a:solidFill>
                  <a:latin typeface="Garamond" panose="02020404030301010803"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60A500"/>
          </a:solidFill>
          <a:ln>
            <a:noFill/>
          </a:ln>
          <a:effectLst>
            <a:outerShdw blurRad="317500" algn="ctr" rotWithShape="0">
              <a:prstClr val="black">
                <a:alpha val="25000"/>
              </a:prstClr>
            </a:outerShdw>
          </a:effectLst>
        </c:spPr>
      </c:pivotFmt>
      <c:pivotFmt>
        <c:idx val="6"/>
        <c:spPr>
          <a:solidFill>
            <a:schemeClr val="accent3">
              <a:lumMod val="5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CALCULATIONS!$B$75</c:f>
              <c:strCache>
                <c:ptCount val="1"/>
                <c:pt idx="0">
                  <c:v>Total</c:v>
                </c:pt>
              </c:strCache>
            </c:strRef>
          </c:tx>
          <c:spPr>
            <a:solidFill>
              <a:srgbClr val="60A500"/>
            </a:solidFill>
          </c:spPr>
          <c:dPt>
            <c:idx val="0"/>
            <c:bubble3D val="0"/>
            <c:spPr>
              <a:solidFill>
                <a:srgbClr val="60A5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90B-43DF-A6EA-256B3289DE74}"/>
              </c:ext>
            </c:extLst>
          </c:dPt>
          <c:dPt>
            <c:idx val="1"/>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90B-43DF-A6EA-256B3289DE74}"/>
              </c:ext>
            </c:extLst>
          </c:dPt>
          <c:dLbls>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spc="0" baseline="0">
                    <a:solidFill>
                      <a:schemeClr val="tx1"/>
                    </a:solidFill>
                    <a:latin typeface="Garamond" panose="02020404030301010803" pitchFamily="18"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CALCULATIONS!$A$76:$A$77</c:f>
              <c:strCache>
                <c:ptCount val="2"/>
                <c:pt idx="0">
                  <c:v>Existing</c:v>
                </c:pt>
                <c:pt idx="1">
                  <c:v>New</c:v>
                </c:pt>
              </c:strCache>
            </c:strRef>
          </c:cat>
          <c:val>
            <c:numRef>
              <c:f>CALCULATIONS!$B$76:$B$77</c:f>
              <c:numCache>
                <c:formatCode>General</c:formatCode>
                <c:ptCount val="2"/>
                <c:pt idx="0">
                  <c:v>498</c:v>
                </c:pt>
                <c:pt idx="1">
                  <c:v>502</c:v>
                </c:pt>
              </c:numCache>
            </c:numRef>
          </c:val>
          <c:extLst>
            <c:ext xmlns:c16="http://schemas.microsoft.com/office/drawing/2014/chart" uri="{C3380CC4-5D6E-409C-BE32-E72D297353CC}">
              <c16:uniqueId val="{00000004-590B-43DF-A6EA-256B3289DE7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bg1"/>
      </a:solidFill>
      <a:round/>
    </a:ln>
    <a:effectLst>
      <a:outerShdw blurRad="50800" dist="38100" dir="2700000" algn="tl" rotWithShape="0">
        <a:prstClr val="black">
          <a:alpha val="40000"/>
        </a:prstClr>
      </a:outerShdw>
    </a:effectLst>
  </c:spPr>
  <c:txPr>
    <a:bodyPr/>
    <a:lstStyle/>
    <a:p>
      <a:pPr algn="ctr" rtl="0">
        <a:defRPr lang="en-US" sz="1400" b="1" i="0" u="none" strike="noStrike" kern="1200" spc="0" baseline="0">
          <a:solidFill>
            <a:schemeClr val="tx1"/>
          </a:solidFill>
          <a:latin typeface="Garamond" panose="02020404030301010803" pitchFamily="18"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kern="1200" spc="0" baseline="0">
                <a:solidFill>
                  <a:schemeClr val="tx1"/>
                </a:solidFill>
                <a:latin typeface="Garamond" panose="02020404030301010803" pitchFamily="18" charset="0"/>
                <a:ea typeface="+mn-ea"/>
                <a:cs typeface="+mn-cs"/>
              </a:rPr>
              <a:t>PROFIT</a:t>
            </a:r>
            <a:r>
              <a:rPr lang="en-US" sz="1400" b="0" i="0" u="none" strike="noStrike" baseline="0">
                <a:solidFill>
                  <a:sysClr val="windowText" lastClr="000000">
                    <a:lumMod val="65000"/>
                    <a:lumOff val="35000"/>
                  </a:sysClr>
                </a:solidFill>
                <a:latin typeface="Calibri"/>
              </a:rPr>
              <a:t> </a:t>
            </a:r>
            <a:r>
              <a:rPr lang="en-US" sz="1400" b="1" i="0" u="none" strike="noStrike" kern="1200" spc="0" baseline="0">
                <a:solidFill>
                  <a:schemeClr val="tx1"/>
                </a:solidFill>
                <a:latin typeface="Garamond" panose="02020404030301010803" pitchFamily="18" charset="0"/>
                <a:ea typeface="+mn-ea"/>
                <a:cs typeface="+mn-cs"/>
              </a:rPr>
              <a:t>BY</a:t>
            </a:r>
            <a:r>
              <a:rPr lang="en-US" sz="1400" b="0" i="0" u="none" strike="noStrike" baseline="0">
                <a:solidFill>
                  <a:sysClr val="windowText" lastClr="000000">
                    <a:lumMod val="65000"/>
                    <a:lumOff val="35000"/>
                  </a:sysClr>
                </a:solidFill>
                <a:latin typeface="Calibri"/>
              </a:rPr>
              <a:t> </a:t>
            </a:r>
            <a:r>
              <a:rPr lang="en-US" sz="1400" b="1" i="0" u="none" strike="noStrike" kern="1200" spc="0" baseline="0">
                <a:solidFill>
                  <a:schemeClr val="tx1"/>
                </a:solidFill>
                <a:latin typeface="Garamond" panose="02020404030301010803" pitchFamily="18" charset="0"/>
                <a:ea typeface="+mn-ea"/>
                <a:cs typeface="+mn-cs"/>
              </a:rPr>
              <a:t>STATE</a:t>
            </a:r>
          </a:p>
        </cx:rich>
      </cx:tx>
    </cx:title>
    <cx:plotArea>
      <cx:plotAreaRegion>
        <cx:series layoutId="regionMap" uniqueId="{035573EE-5803-498B-901A-96F084AC31FF}">
          <cx:tx>
            <cx:txData>
              <cx:f>_xlchart.v5.2</cx:f>
              <cx:v>PROFIT</cx:v>
            </cx:txData>
          </cx:tx>
          <cx:dataId val="0"/>
          <cx:layoutPr>
            <cx:regionLabelLayout val="bestFitOnly"/>
            <cx:geography cultureLanguage="en-US" cultureRegion="IN" attribution="Powered by Bing">
              <cx:geoCache provider="{E9337A44-BEBE-4D9F-B70C-5C5E7DAFC167}">
                <cx:binary>1H1Zc922su5fcfn5UiFmcNfOqbpci6LleZDjOC8s2ZZJcAQBgtOvP73iOCVhS1YOTm7VTV52bS+t
JtiNryd86PXvz+u/PrfXV+bR2rW9/dfn9efH1TTpf/30k/1cXXdX9qxTn81gh6/T2eeh+2n4+lV9
vv7pi7laVF/+hGNEf/pcXZnpen38X/8GaeX18Hz4fDWpoX/jrs329tq6drI/+OzOjx5dfelUf1R2
MurzhH5+/OHaTo/S6768ah8/uu4nNW2Xm77++fGtP3z86Cdf3H88+lELq5vcF/guJmeSMQEvweLf
/8OPH7VDX/7xsRRnicBxgjhPfv9Pfn/0y6sOvv4X1/T7iq6+fDHX1sJ7/f6/3pdvvQR8lj5+9Hlw
/XTSXwmq/PnxRf9FXT1+pOxw+PbBYTi9wcXL31/5p9ua/69/e/8ASvD+5YZxfI099NF/2CZ39ZW5
mr4r52+wCz7jCeZIUPzNLuiWXQQ6Y4mIOULsm13490d/s8tfWM/dNvnzi5498qf/KHu8+qJsBZvl
b4NJfMYQiSklf+g7uWUOSc8oloySOPlmLfb90d/M8fBy7rbG9+95xnj19h9ljMvr9gq8Vv832gOJ
MxnHnCUIHNINfyWSszhOJE0YvdNf/aWl3G2LG1/1zHGZ/6PM8eIKotWVrSbzdxokOaMMxxLwcae/
4mcolgnBf5gl8QDyF9d0t2VufdmzzYsn/yjbvHZ9ffXpu/P434cREp9J8EwJhJHbOGFnFDEqSELu
xMnD67jbFN+/51nh9T8rmj+7Mv3VdNX8nfigZwLFFNN74jngg4sEMfKHPcj3PfAtgPylFd1tkhtf
9azy7P/+o7DxfpogS39trr5c2+q7ev73EMH8LMGEQSr1zXHF6BZSJER+zgnD8m7L/OVV3W0d7+ue
hd6//kdZ6PKqU+2jl1df3N9nHoTOYsTBNtKL9PKMxiLGMRPfH/YNKn9tEXdb4+Z3PVNcQpnxDypI
jtdtpb4r5m8AiTzjFHxTzPmd4V2cQSVChWToznLkwdXcbY4/vuZZ4vj8/2tL3L1JbhYit/7if1qv
47OTLxKcQ8V3O/ElnFDMMbivbw/7Boc/qub7n3+36v/42q2l/j8uwe8vz/9sYBwhKme/dz5uVOg/
/vT314OWjPfVW5Xhrbf8rr6LLz8/Rgji8J/9lJOI+3X7599fX9np58eJgAwLCcIYoRxCO4eKcYEO
zs+PuTxDCQBFxpArSxwTsFg/mKn6+TERZ7EQUNbwmCcEcmn6+JEd3OkjfiZ4TEkiBRYUQTcG/9lt
ej20Wzn0f+rhj///qHfd60H1k/35McjR3/7qtMwIIyqoYOyUhuvPV2+hkQV/hP6PLdZiaFTCn1To
mLBXdoay/8/3/x/IPT3vhtwEq5nbdhXZxKq2Svd92z5UmK/fejffWjf/A/FglZviaxE127L2IqvM
aMzbhe9xeVmu+/D1x8sHDN2pFkiWb8pPur2Rril4lmBm9zcadUmcVqRmKI1p3OGUknEqzn/8sPts
AOa/+TALtq+XsufZaokkqYxJadJh4/K3H8uHOHjny8S35YtkjHWdbDxzSNMXCC20e7fEdcyfb3Lq
1zwSOzdpt4367Y8feM8LSdjpN19Iy1jP4vTAuU3E+nSoXOEO1LpKZT9+wEnQHbv2lAncfIBU+xJP
jrBsaaxYnvKNFPigG4ur56ypavwCucY1h9GO/SbSuKVoPI/7ajZQHP5od6OT6u5awEnVN7a3Fp1t
mN1Y5spyHg8Sy1wQ9FU3ZFyadCyXuUvdJqLnw1KiJnN4GGSfRqXEHQSzHy3hPh2fdu6NFbTl1s0t
W0AFErMDMcNXwRb1wPvdJ9zzCgMgdZHbxLJts+LXeNiGtJhd/Sps6aen3ly6rBW3xLCsIUpdx9Bp
f95HqnGHMPGebxiihemxYixrJzH/gpaRpmuxizDPIz3PYNql1hqPLJuGaN+zeI1mc+R6GETg8j1v
gNcSya2twRsM1NWHjfOVpuMIUDqG6cdzB7jeon6wOsr7YRP8tYXG6fRLN03RA77zns0jPPRbGbt4
WZnM9wF12VbSyKSraqx5QEGnTXgH9oQH/mRoaOvwVuRDJPfufDFIz1m7bEgdR1XRJPAxHsQJHQq5
6Ejk0+Tw9KTnQx9ne4/aNdNqWtYwqAkPx+MwjwVZO5lr3OyXjdmqV73gyeWPbX2frjwgL80q0QJp
R46jVWWtNYI8L+k2jB8aJpv1AVXdZ/HTv98AdCVL3UihZW5aul1E3R6/SkpkWmgCBbg6QW6LHwq1
xaAcnjsx4jWN65V+5PugszDxHqLdLAYhoc7J5xYsMLVll1EXCR24eg/PTpF+a7da5tTODdhgk2uU
2nhTe+ADPDw3ScTGZAXtJ6gb+wuNWL9kphb78jpIQafE9aZ5Bd6IRdHK88RW6hchrX29qnLcHlj/
aaffgWfu4blL5oXVrhR519qxeCu6bnS/kHFP4qdTVCXiDeS6hF+EvYuHarEZqGmhhZBrQif1ZNrJ
mqRV0y1xGJ5PVdlNZa1qG/mEjcgbW2p6YTs8y7R21DwUm09quUtdHqS3si7jboH9NBabNse6JEK8
7qJ95k/LqeiabC3x1v/adpL85vpy6R/Q3H05D/dQ3q5lIYZ9Ab/bylY/rSJbCMjsmwTSOjktNZ3S
fqr3+aAqrrvzZt1LceR0IcO7OZ64C1Sw5w22gkdCNlGRdyJyR6IWkUvRkgc2IzrB8i714tv2Y/O0
qhGPSU7i3QzZjop5ylix7+0TnRCxvSptN3zVEV26J3SXPXu5EoL7F1hIWf8qG8zYA0u5x6tyz3HI
vmZ6WBTNtSgsOfA9udbruoxhTpt7bqM1hKNtrUVuIr3k5YRom5ZEll+CgMY8p+GQ4bKuS5qXepUf
GYTSlzaOujCfzTyfMZKyr6NIJDlroZI5OCS7PXXKbPaBXXYPyk49xZswtmrcGF6NzKdtKfCFpMbE
n1aNAHEVruIh7ZXTXYp3rsvPutstDjML8/wHWfoWNpHhOZdF51I9Ytulm6NRYLhgnv/Y6d6MjhuR
uZGhjG9zedz5EB3DzO45CV4kcV+P655bV0753os65UbXD/igeyDBPOxDV7iKVggNeY1Vd8ATqo/F
NuDATeVBH6qeQSI17DmGujGNK/ShL+lDWet9S/fQjLju6dqWe16KbXrhtj6GXGCsUB24bzw4V7Wb
NDHbnkdFl1zgeW2OBZE0DzIr9dBM9Mz01ID0qcD0sBBhU9shFbZ26qFZ9niXswCzRhOuDg1xc8ob
QcP8KPWgXMeRiZfC7vmIVHtuk748zIzu5z/WzAk2d8QL6uG1L1i17yha8iVi11B2NvM5nRrd59Mi
eOAbeJAls5j7uimWnABw3ybTUGeIDk1YOU49yE49pELLzpd8oIxfyIS5Y731ge6GepBFU9cWcq9d
XtqWPlNtJ17otQ1cuodYCNRF0yAy5eNQF+hgGLYHUa1Ndfyxce8BLfVAy4rSNtEObR7dq/VpM5XT
c1cUbSCoPMhCfzSakaunc+PKxb4jSyzbV8xIXoXtG+KhtkFqHssZr5ASuv3QaPZxS7b+gY1/j26I
B1pWRw2Vspizsa1QSqzD6ZgkLnDpHmiJrikuajmD5qOPBkN+1ydrEWZW4mG20buJIsv/WDrFI07Z
zEOX7qOVycLJCs1ZskDTGJ+k23DFnMxxo9Zu4lkXrQXpa51UBycbl3KO60C1e2itKJMDHLGCdIqv
R0Xb81KVgZ0t4qG1Ab6tVCUIT3bX5a1IDFRefA3LDU6HKDcVs05EFO3WzBmbiiVd0YxTpIspLEQR
D6tdpXE/kNhl/bz36VKpa1fvKEzr2MOp3c2kh2pxWddUNOWUfYxmiwOFeziNC2bIVkVTJsa4P9pV
XVm320DhHkxHm6w1ZMIuq3lSpbxWbeoMFoHSPZwKUkelihJYeuLQCwvHI68LUbZhR1TYw+nqKO4p
SM53BGzvdO8lZ8doiqQN2zPYgyoe16RzupzzjXa9SSOiWa4XPH0OCk7YwypSBTbD2kFkLWz7NKkt
Otqm3rIw6fg2nJwpNCk35vIpIb+hGr+xlLwJE+0j1W51t23RlKsqegnu8eOGRWCvEHs4TZTqBOrF
lNdLJY+uYpdDUwxhBkUeTvvGRiaRzuWRmtShrcVzgcc4bLOfeKw3/RccCy/arjLK+nb9ojb0AbPu
WZDCkYdSqZYygni95SDWTumObcXTzZIyzPUiD6dzyVzVUDPlwAWJf6UT+IHUqh2FZRrIA6obWxy3
xeDybjD7cVjFp0rpIlDtHkgLqUYxK+Nytpnt0HUalt48dPJ6EnJHcXAiD9y0adJzqnTUTTmc9icv
pC3RizYq9Icws3oQxROeDNwVge1YFVVKuuVXIVWgST2M7nRI6qJqXG7YTFIk14/tKF+HrdvDKF3o
uigCsqPaXlK3vWDUvggSHXsIHZaiKCdSTllcRNEhqovnao8D+wOxh1CEtBZ7hKOMx8mrbhMfpdna
MNcSexCNKsjTzQA6aav+zVAO50VXhXny2EMn1ctGVmjgZ8M+PzELfkZZWASNPWDqjU180FDb8a58
Loc1700Rdswae7BU7bRWzsGidfd+n92hFr+E7RAPkm1SG703YERaNZ/MmryROw/zU7GHRzfOzbot
fMo3W6PLfZtwXjtij2EL9xBJ+mLta5VMuY2ASoD75klSJL+GyfYQ2bTKMmArRxlTkN1GMb+iCQkL
bMD3v+0EYWOPYxtDSK4UX1NmaXRMEjEHAYcmHiilncVE2RxlI39nhqOELnaITmjiIbIqq5GO1Tbl
TgKZYyFWp2jkl2HCPUwucN61bX1hM1TpJ0sLZ/sjqaegnQJXX24r3DgXN1ELwmXLXhOnPyu6mUCt
eLhMKNviUSY2Mx15zUD26uZQ2R400aIEISuCtjEm8XMny/rpSFceqBUPnZWlcwv5LGwUtvN0j+v3
La+CEiyaeNhcE0eXJgHkr2Sb6kNMCz4cMWRAKsi10MQDqF46WsBZzZSXVF9Fy/wBDh/eB21Fn6w1
ExIbTkAvzpXsOLpGpURiEZRHQEPI24vVLKAfvcLC1/W1G+Kn6zwGIlR6CK07EVNREZvLhrxogXCY
SSFwmMalh1BXGuBcunnKY92+oVF7qE0VlKRQ6eOTRf1Wks7mGDN8WDpkDojWX8PM6QF0gxMFK7vJ
ApuBfyzt+lQJ9i5MtIfP1UxFI3Fk8g21S9oOYjzvuzqMhkF9YtXAlj6ZgSuUwxHSfuz34aUg9iGO
went/zMRp9IDqNPYNhVaTD4A16ZNrTPRs2iOt7dhmvHguUQEvCJ1YNF5+2Ihg1ut/BQk2mdTTRB4
Ks0Hmze8fLtqfRF3Xdg+9IlUcyEbXrfU5Ps8Vtm8lPgYtf3nsHV74FQ7LaxZG5snlT40dHvZyYfS
zhNO7jCmT5laIugHz1qYvOpm5lIjeP1i5HpNlxq77RC2fg+krOnXvhmYyVtFfmsr+iHSzWWYaA+i
KzAeWy4KA/if7ZPZGpSimYYd1cGNvtset8QVU4ZgWDhFH7o56lMa6V/CVu7H0HXUjYkrmzOs6JLt
xG007WVbNcewB3g4pVVZSidb2JJr9EZ1+FKNYbU4FR5GW8VGKJhBdLElb6ZYvSoIDzqGoj5BqpVb
0Y3zZnJSdDiPJJ7eoHJRQUxf6vOjsJhjNivYiUW8b+lmxpzQQHYa5R5Mu7WIptVWJu9nHafxLM7H
pQzrDsOth9tbcTLUOZqAysE9Pps3/KxlaxiGuAfPZClbV4+lyUVR9qnYt2eJUWHnZtRnOiWwS+IV
NyZHw/yaoPG5iafAdXvoNApOJ/gSjbnl8oNC5k3bjEFFHOUeOIuVdk2pa5Nz0EyaAAk9HbdOhvlD
n400kXqM6iEZ4dymGg8GN29clLwPQr1PRYpjqLN6Fo95qUhXpws0KjIXRzxMMT4Vqa4TYKXVG+Am
2bqDdJy/bVW8h1nUpyLNNeMFcO3GfE8MPiBLX0IkDTs9pz4NyUW9HNg6wHYZEho34Gu3xlapTOYm
qIcDJ/y3MQpc4Dgp1x50X1aLOPTQPMuLgo5h5wjUpxttjXPSdIXOZWSb8TAvuvvqErEEFo2M3l4/
6nBMlyTSuak2e+xKXqegIXYetDN9wpEQ6yrjOda5azk+xBxI7ASq3zRMuofYqQUGniW9zi0V5ZSi
HTdXzbb2ZaB8L5quynCzrKCboaqHVE3d+7VFYTGP+eEUD0sXCQd676V+stnYni/tUD0J0ozPN5rJ
TDbdLjqvC7Z/iIeifAKXTXUTphifcETATzK8gVmTvhjtuXCS0JQVAx8DH+CFVTiMa4Zez6B5YpcL
Y+T7amzDevPUpxyJpsPAMTY6F3R6p0r7Zmmmd2F698JqWWwLadtyzEWf/NYPC0orGIETqBQPqiO0
zGXkOp0TU8vfBBwqPHFNNwduGS+yTnG0bjthQw5ITVIO1Jc02iKRhSkG33YzZovgjL4F6WzeXMqQ
ftr0D7GYfk9B7yhofJrRqFag10k85DNvyiKF0+IanI1Qa3Mou6RsnnR6W965zrYXxJKI51NVjewS
rriJ8TX0/6x5l4iOP2ngXHJ4Ujc95aloFTTjy3WU8ZLutB7N+2XEkTvE29g3V0NVReOBQ2KJj4hB
rz0T2q3u2CLokh04nFKvF26MZJ1jsVb0ohjqZTugGLoJv0bA7N3OEamtOBKxgsylVdN+Xo5JZeG2
Hd7deYfxuh/t3JH+t1VQWryeKI/qTxaxcczljpM5Nyu871FPO8vqeGby0AuMmgPfROmelGgok+dc
9nAvLB53/A6GmizpjLm50MqaPY+HRG7nS9fO9DgbWrJsFguFFnZbzfRQtrobIJ9Nku0gjSIi7QZl
0LOlL+rkoiVoovkO2l4OjDTzxb5H3UvTzzE90nie97QuTLG/a1E9iLAshHoOs1up440jQ85ZNUDX
J0pxSZIwaPlML0KLDRLJVucV764L2rwrhApbt8/zmuEkZm0xrJu5IrdJ+7RgKKw5SDwvyWZgpiDo
IOU4Sda0iJImTVo0BOrEy2xMXBLewKFdXuK6Ttdm/MprE5b0Ec9P1nC9de5FPORuc/ol3AZTTwYy
dWGujHiOsuIqdj3mNi9NQ59TyF+B+e+mj0GujHiO0nTlPM96HvJGlu4XI8cdmvm9nALV7nnKsVcT
XBNJhjyBpnLKcP282suwm2bUJ3nFAGFGpR7ybdBFdxzipc7XMVaBVY5P80K9QntEYEfysmNrhm3v
9lRErBmPQcr3qV5TNy5FVE1DDgdVXxdNn7LIht3ogClPt2OUdouZx00MeRUnwCObrFjbA0lq/DVs
7R5cZzbuZHZY5+2Y7DIVw0jgjF1iHMbFgNkVt19g0X2L4rWEBAHGU6ZOLHWmlApMEHy+lxZLUe8l
hHA4ozEHYJTxg46WOA9TjofZJYar0kz1A9yqbdunnMxsSvloeBi/n/psL1v3JRCZBnDDvRNPq57E
v0FNu4W1grEHWrF2495ZyFehlbVeFLRwuYgnEbjpvToEk9Yl6hSdatWVB7uMZeqmrgtzOD7lCxm0
uhXq5DzaenJdAdv8eu9cF8b8pD7pi2HS11Xd6JxxMUcXTdKjQ1wsC3vg7PCee3XUJ37B3dai4K3s
871FxFzqRs3DoRA91sfFDtElXDh7GUVJWx8hi2uSQ5lAMXpeRYwNYdb3+WFwKZjHrob8c9nGSh6i
roYBFF3V6zasjPYJYjwmO9QsJ89UTKh41qkS7p1t4zbFYd0pnyK2x87A9Vrc54Qg1aTrUi80rRs6
ByZYyIM3t3tnegwP2BwG2vLuPgB7/3OQ6/BZYu3UbVPi9j7XpreHtSRf94mFLtxDdjnuyNpGdDnk
tuctbp5ibMNaAL9fobxBRe+iKC4XmCCST3S2hyaicNSw7G/DlOKly1PVmhItc58XzsjMVbhMO6YC
Q6XPE1sEDBjuwaK5Mmv0qasX8tlEEG6C1u4TxWxN+4H2qMsh13op5v1ZO5YPzHI57bc7SkWfJ1au
cM7IzdDndsXVU9QamcKw5CUsiPlUsaXhSs4N6XLSyKFMaynHp5VwfRUGU58wRpN1ILyPu1ywvj6M
iXzSULSFxQGfMmZ0X5ZFovo8odXy3JqOHsRUz29+bNNTZn+X4r2sOVmabV4QxPd2pyOk/LEtk6yN
0TBkHKq6PizH8jlkcuOF5KQc8tiRSacVm+oTtOJkCIvFp+GGNympXaTsOCcK9ibD79wUvy1REbjt
PcjCJItJxgbWDt01dlQGWvm7Q32QeWH24u2F97AZowZYgRkSpng7b5F+11cs7DYTTNW6Lb1VPXIx
tu3JB8s3uiMsnxSTQUonPpdMQ3chLrq+hcNw6EoMo3wT0VIFKsbLmt029ZvbVAsMARjhdIDLh+PH
vU2GOVC+V+vCQJqi0JNp892IT9A7etGJ6sOPQXW3NyOn6WY3NyOdYzithhuCcGl1KOp0tG6+XsgY
NnoDRtveFq+gfOur4qR2LQtoOFp50XHmgrY7gflrtxY/4Nqtu4HFF2UFbSeEdQojVcIiFPEpZQnf
xcYs9N/QMqHt2CvgIxzqvq/noOYLTL24vXw5L4WGzLbNUcW3oyzj+PUA9/neBlnWZ5VtXEGHaxmj
Y4nKdXhaxyh+ibFm7oHV/95p+U9/THxiGQynxCvnDrYOd6x7NSLUuyeqmUdzDoWYw+cwS4/b48ja
dXgebVAVPNeiHruPGBF67jjeLwSNNpYme+FgusIWNc2rrmcrPnTjuKnDXlbF/mkoNuXOew0x9+BY
vX4mHaXPZl1PTzdVzeekcAuIgBkYVRp3iu6XFYL7LW+a05yKy15JbY9QsNEdPjXLoYqB+fmy1lW0
H+GvrXpBcDHMQYkk8QlxwGsc8elCclYWqH45J03yHCtchgVY4lPihqhhA3RHmxyv8TXH45sEla/D
tovnY6DW3LqIL01OduDZtphe4ME+NEjj5Ajv2iqel3Eu6srdrk0+apjVcWHs3i7HZAPWw3GBCqG8
4Alvq6DuGszruw0rNCaM05k1eaQjntFmac933Zbvw/Tk+ZxqKxzUiKTJ54FWx6jYP0w1fkhPJ2Xf
pScvNUBxqVxjXJPz1ql3wKqmr2RVrldrjaIHOpv3PcJzOnGRiBLrscnsShp+rKbRjCqdDTTbL9QC
N9oeKKrvMbnPmgN6Qulm3pYZ/K5J05w7tiJgh0Vtprpd4gMwusO6SsQn0ZUV9E4K04LSehwB0Y1/
AEcUGMCE13GLYOAINAL6JkdwHDeR5Xwi6AEHfY8lfBKdIMDl3OEO7rEpRzFdJK1l54NM4Nyfl3Mb
B7ELiDg9/UaJyEA2V0pEMKYDBgnCXffy12QUYVdbifCAbbdkVGozdS4Em86Bcy3TokJhxQrxiXSz
glYkcajKFZX0XM9bd5SJCqrjiPCAHHON2la0xRHN6mlckJQOPFDnHow3Erd2mED0vtOsSMbzTuGg
+pD4HLoNpq4pmzTFsVH4mWDRs5GHdfGIz6EDWuFpEK4qjrpexqe1tVMeMfIuyG36FLqCiWreSASb
HZU209rQdEtaeh4m3UNpnDSmYHGkcqGsfgas1w9juYUNhyU+h67kooxm7FTebrg9d8nUP4nHNoyK
SnwaXbStcJ7SGZWruh6PupLPI2FsFqYXD55rHY/OkiE5Th1V6znGy3ttmiasqQjDrm/7lmpIprGl
fXLs5/Fl0w55bYawIO5T6bZqXcuuhESqnZxKe9fHh71lD3je0+vfEWZ9Jt0M7PwdbvgBiOw8pMAa
O2gOE4XDdO4F2B2G9Nh50gpuLXXboS/1MKaF6ZMwQhoMpL6t9KTb4M5FwxK4aDXsOJVtYZ4Na6PC
7kESn03neF/0YiTJsVt2OLN9AyyABzTze6v2Dr37XDrKdwTDqcoqR1tE5mex6hhcMCphcOglTEoa
csWSnaRinDuWceiuLYdxatgM4zg1385Hl8RjtmtU4qtOMDznhSRKBHXg4ccnbqt1jUYEczemU7lk
pvJCkVi6rLKN7Y9B+8Kn4fVKTVyiShxXU3FwUFvt+kMFP4JBwmoPn4dnpsbtc6Fd5oZKZ52ky1En
NKjTTHwaHqRsjGjSuQyd5n4tbISb2lQE8athmP5t3WsxU1tMIHx2MLu5tXRMhxaHcfwI86IxrRzc
hne9y3CN9IE0qE6hI/EpzKoe2odGwo9ikWLKZlx1qYwiuMC10jgsrvkkvBK4pjGNyJQNwKxJh8aU
L1tBpl+C1u5z8OiiNUF8nLIogVMP2uxlpjYWphh/5pcyCxrgIHbKYEYlft13a/OJx7sIS4N8At7O
qmWc3GyzvuftASZXw0QYWoRNPSHUy5nbZCI7kcxmSqzmnBUTzBePmrAzduJP+yILJnvbTDYjS1cB
42q6hOvV6wM+9p7Q5g/7cssII7PEZrNNoD1t4sYcRBOYq5x+wOpWLdE4HpERtL53MK5lmbavsanC
7hISn4IX7bobi5a4rITbM8dkqaoD+OOww3vic792uAZRqBkSK6HxJ9uRd12Fw65Xw0+y3FZL1UFL
edDUZSo2cbpqXGRFATS6H6P0njLRZ3+1qBlxMxB5zouWza8r16nufOO4NefUaIiCP37MPRvHZ4IV
MykoquEl4KdOouOMWXnoVxfGBCP+vC9dFWKaOEgvy14dJdDADsmwfQlbugfXpgZ3AHxGk+lVbwfV
jfXRdkVY4POZYImm8dQxZrK5cfN5V0mcwgDjPSzy+UywrYNyYzeLyaZqb8+Rbd7vqGaBJvXgulcd
3Qfo9WRaVuLQtWt9AEpqGO0fTvVv7/pebGISstBZ1EXmUO+6T4newiY3wQ3o29ILSluDaq4zNY3V
YWdde5AwJj8sF/M5YA5t0HI2pTyv636/3GO9/lLH/UNz6++Bks8CK8iyIAdk5YwZBPdRTgmHxuih
HuF90r1aF37hBtrVW5Kc0wha53P0eWj7yyAg+eyvBmFUwO9niHOY81W06bwDO3GqVvtrmHgPp6gd
/puzL+uSFEez/Ct18rmpFghtfTr7ATBzM9/DI8JjeeHE4gmITSCBEL9+rmXVTFf65NIdJ/PFw93M
MK3fchc67mRWR2b6AQBcvfH6lsfdIH9sr76W+zJWLojijToqG2daJdcd+cFI7DX4C0JckwsJ3rpP
cf1d8BDDjwES6WvkF8wgmrIWkzruF+mj1sdpntbS/1hAcPGi+tc7W5OudnsY0wIqXKdhNo+E/5ia
IH0N+yIMoCLa92nBAX/QQ3SbDs2bH1oq/x/kCzJC9UyHtEj40sdXqenAu659v7z/sfd/1WweTDzp
bhnFMR3jDRLqqU2vL1S9v9ITvGzG38l0X+O5mqg1qfQlP/YmsidXrmt/bwWpqgN4qqI8V/3u6zu3
l/+D5PrXVPX3PvRVCitCUg6rnjqkrZsftjzumi4xh7bFruuOdbm1XTaNPexqsoFOuNs3HeZBnMfO
8Lo/IrHWbZ91e7uGc12GqPxCqQfsbiCAtLYZ1WH3PkOQY6bblsfS3K229DE/b1Eqpjab966KmoxQ
1dAqm50wCIRGjqnLmJrG6ouZ636Js7QVTX+mewu55yIgoRdVEabVz3kbqN7eQkLOr03GWlj8QOY7
NJsdslgtEU8zFSAN355i03JI3/eoWbo+A6+gW/CAVozDe5P0SGS00PKX3vT453mZ0rXggPvSbMEI
tfm6+qS52sOy8RkxMrXDlxFFW7Fk2xyT2GdM8qr+NDRpq7711QKjHxA593HuM6h96fDxAtI7mb0P
WzZANMrm3jc2bgsB4mR52NGySQ5RUm42LyVWmspX7gPri2TdGbmJ5crVsWHL3oMXNo3hBJeAIRfc
rPxOk6WRBWmop3kt+IQoTPaykD0EcLNtqvg0AL+px7oqnEK+L3JUSLZqxJNNwywymXAB3sjaXJWp
QNiIs4T3yzVma6ybbJaI7DIVR11fLP2QfJ5czwsf9k18W5o90KOZR9be73Mi+XM9JULcU1dSeruX
tVyqotvBUUmPyi8xFBF2LpbuDgwNifkyTWPwcBXZVbUcCVSNEY31ZNzbU+B0818n2TdjlY8risFn
AQaSehdvYrMh74YUTmKVjC4ykN3SDT4Ci2UHaAsKOmJZl0PAXI7jOWEopCVn3g6yzlreqiNv6yEf
+eb7GdWUENn1Elmu9oYstj34GWfUPR+rRb/btqQaJJbDmCxHTZnd8rGq0wQqsXXoCuQ1tfwkHR3G
G7XtSPxqRpZtzrxxKOZnSjKRIIJyjlKaK9jG6jdxK2d+hMBKu90MiY9R1SYO2mo72sxurcDdIsFy
ByQnh8ga6ZavSReBMzOvIjVvBetjWdSlZforch/ZYdP06bgWVrPR3rcLqfg7wLOm/qiDAE1IjWRk
1zuLkvY2rn27f2+GblzAmJmjMb2fsGnrw2DqkJxNH+vpQx31kiQ43tqKs0z0qTL3xLk2/prqspQh
KyvVV1feryu7JnOTjh+154Hl0LwnYKNXnsYK0s6Md99K56u2ytqplV8Z5ZP5AHb5XufoLuHuAs9j
DHdA9VmJF49R+m3U87qf+8SE8K7dSRznpsZO+qZTLPNT1Sb7vVOkOpJkkvpBzovgByIbUz9Nbb3t
jx4EjyRCJxq6AbK4KBHzs/VuGH5p0bmpbzSfaLgaR92VV1Oi4vlmmZRIcp3Ck/GT5PC9/h77trwH
hTy6Rhtp/wZqS59pz6qigkBQVGzNLv01PCTW/QTxIPqxU02qCtOB6fhGhLob7uOqbOKzH5slHKKp
1ttJhZnwK8G3lnwgvGzLp3pSlclNcBE0ETVRFiSansPIb90tm+8s2R05U8NN9x7GHeX4sDAl6iOp
21EUbtMrzk7P5FwfgZ+O57tJrfxbB02AIS9RMvQP9UZmHCX1uPkDZ6Obq4KgW7XetBoCx8eyWgzo
NZFYq3e1tCo998YYnrkymvnXulba5NVgW6czOcQlgdFRSrez7XrrCucTEhXODkmcDd3uzSfqFJ6g
YKSKIWe44SmaqLJzprfIDofhIsmTQdBub+8nD2LagZnZf05I8Bz2ahWsInNYQfA7hEvVS4ktLHLd
1Umf896z8UOY4M8IgaO+h+RZRtt9b87egSX7LsCfbi6zenJiw3m/Gz+OmXa4pn2Givdqv/llpewZ
FhwzLoQWajXqqcO7XCbSuGU+wMQRnc7D4JOeZeB+DuyqU7FqD+ta0S5kVezkfuM3W6FqscHGSp1I
GRAjgslW12cLl7Uo2+emid5y1s5JUad8iQpL1lgVIuy7fp7JTvVpdbtXV0s/RmUx+aQMtxRmOY8k
trp5i8pREtqs6TqnjlCNr9y1apHB3AeUxOQxbRvcd64s2QScd1pvt31FdJuP+xy7PDWziMBbmG3Z
eLDndhs/OdL2IGMMqXOPzUZEchrRMtb3I5TumilbQwoDHeiKZ5OfVXyOqbLugdkpGr4kzSa7W95R
izU21H1Xf6ed3LESeki22cNYyWY94ptt+sD6NrXvebvW5bWtGk3PINHy7m6ZExh8HXAcdbyALxMt
X3ZIJUPT3NaanezYVBWwzWBgYY1I6Chd19oFczK6p8AMJ8AQk4M1cD3MVheG5C0+Uz6vce22zx1E
48FJV0k9pvkE+cUqj3A+lflWmu2tTrijJ6kMuC5sGABW7ddZRnkwi4Ol3Dz6DQSSVcQ5GgqyfsTj
Mvaw+VA1p2hIUnSOmrKNlnd9v4/DNaC79Y6oaNi3b7g17NBCI5WQ+M2lU0NJTutJ7Hc7UWlvcRLv
oTxLjamH0CyHu9mtx4E8PcD9ws5n4mrlTpvjil1u7q2GJkCFYbQ2cwq7nECvrtqXKp8aH8IbqrZO
ZXBNk/wo0h7nW9ZSr+cH4mI5fdlna1KddW7d2DmklGz3KVZ//VHbDRY0+JJ0LB9alMP8k2wxiNd7
ouetGOjC3An3f2QqDG7Srwe/C+ErBE9u3DGZc7UeV99G/XsRB9c/rhiz9XrSgIU+6LWpmzzV9Wg/
bkYk7FOfiCD7DAphZDAYKdpV3wdoppJHqNan6ssI5ZX289RNbYL8CoKINO91osWpF84GxG81kXzM
pmgJuAq7DdcHoj1IxvKIraKwEGkYAzB6IvoKVfmQ5gSXuj7vy9S+EwvW96ElvuN5s+2oufZiSD+w
BLiInAZZ6hy5aCrgiDiK5SrpBONrRjfST/emnmpQjmPIdx6N0t14R3vjoy7jYGB90ePktiOLm3R9
iAcyQ38XfVb1LpWDr49rB6ecxymp6Udp4fJS2LREKUA2keP3YTClOJJZ++QB/Sc6PHWtsPtNrIdp
xIGZYm8AFg+gmrxqIaI635V9p8yWyzStHgOQL1G+8aZfn+zuJxCiwXtNfA4Zw7LNYT7fmIfWosaU
1X3VTQcawKvtjqCoxQdZ0mEoZlImmImm7uK7dDEXJ1duL8GPBLSyrnIlV5YU/TKReMnafQsftOyg
mpTtPViL7wzIbfS5sny8nYcFEVdeVzrKYw1VuJDjdF8z4Tl1H5IFsgeninuD+15sBGE6BYHXuCzQ
NHLnBo9A3izj4ESeMD4VbaiX4ardsNU/MTL79ZiItovhTDJD8ixOGyoL2gEenFka70eFy8i7bGal
tvcLoFNqyHvei+62tWV4kOFigLrPO72xUrbkIOFgs+EaRchRzHuKY993a1SdWz4w927pynh9GuYl
ztEjmZLPoSv9mpe+Tk8I1+Ca2YJFM6LSns2brk+1MxDWSMGrxmVL8313ymQjzJB44WaSnCrEAx98
L+hNBSmlPuNKTzav44RX0Gw1STaOqebX0lfhewr2j75LsHX6q13bXd1NUTI/Eg+JV6RA1N1WXCY7
Yqc4nR/XyAC26zaRc9DI79DPAVkb5qUUauSgId+FWSbvRx9VhzbRvM36fnM3a9uph8pDQb9osYxz
ti0+T+qyOaVpqm4XXoXrKt66z6Fa9VtFuzlvCH/Tsbl/z7QaVFYRYwE7Wbq2nbKNNMrbrEK0G44B
VnXhxNekeubxZq6dDlIVWM487/dl347DrNl1AHwxfe8jKd5WnQdqoUjcIKJT2YvVd1mJlStBkw81
+d64Mrj3jHEesrXpNwkoZ7z6UDQXPYBzF7YdsilyjoOBs+402QR5TENHXVR8jaPrNU7Bxgat1JPr
uY5LdW+jzbrjCp4/ed55l/BchXR1N0tqWPUZkWs/HZhLouRkGtOkt3pbO5i9VsPaZT42s3ymS2fI
w0QXag6QaQgDJAksr89jtKruU1TDS1jnLDSsKYjVtcsW1iAUVW4RTT53iFF8VtKI0i4LLCzNt00y
Ot2u27juX2FK5REO1U4yrO4Oe4uZTIMwpA9Q0SmTq1l2jX6zxcj9D+OQ0v7oBM6dAhlNJc7TBX53
mESf0AeQajS7AX6WxkWsNqbOMWhT2y8NwNj9w2KdNCQPqlrraztZSngGQRGJ9uiuky68QWosEmTB
gGzuN9Z2FudCPQgf35keW/Jti2TVf2pZq87piBYZtb0Xn2JL2+hzjwYr0uRtZHBcRBG6zrE6ECxl
5bLidLfzshVrX83yAwen3z1Lj7P9o7WTSnTBxBThvioHFq1vud/1VmVRkgiaOVfOfa5K2iX3dpdb
+CUF3b/7Pjdgsx2khm3hU+jqTUFwgI3zIzyeWbsdhhXqrleqiZLxkWOX4UQkdJ4kjqd6EygW1gNo
zSdNSe1PtK1b0hfpPiMEyDr4sleQgR+RfyDi01MeVnOJRWDj4vwb7ea58leqrdr5ubPRuB5HHTl1
tlYtDDO2Kz8XU9Jt6+dWMXCReN0q+9n5dlqPpiJ9lKt2iW+aqSp5PqER7m6D1mmFKRENyIAWVfZ8
NuuEoHTikJN5Xnao5IIgPZW3Y5VMV77c5NNEk+AQHbB9Nw+h67pshjdoBlJYtVD4i0k9HoOXLOQV
7FSX804tErRaLSKzzo+RydzivH0jYi/qX1ZYm8jD3hJSF9xf7tWssvCYOJUIs28bSHNh1dG4p9el
hj/rjanC+EFJDEJBnUvjLiMNIA/Pttt1hCg1kOhq27GurxAHxOLa4QrQX7ynzRVSgFh9GiFxLuqc
qYo0T2ZldQ1J6LjnzZJhkTGaS5yqAdlcBOLcLuq4uZfakz2fseHftzHrD13Z8AFbrVyuR4IKxh3q
FZQ9ymHj7bVfZ/UVlZiPCD1cwmGpwgEBH+ERkzwNSVV+hp6Fboqqx6HY6Lm9c44gMtshMOLPnZB1
bvYAwxHQOsipETPt7iZHbXc3l4u9WYwZ9RcYRLuXaGqtLbYlwjSmm3hul/TS3Gkl7vYt9c8csYQr
qn1CrA5ck9uyzov+CLKy4pk2vkJsgFblCrM7uaFei5PQor7j9L0HywQOjPJS6QHxe35uEYxlCQMC
/YxSurK3dJJT9EgFQHwABYmhWs8rryrXYVKWQCwY3aVuDhuhUouDlrx5U03whj/EYK9Mv2xr0q55
VKNy9RlaDXDDnZm06WGok5BgaTbJ27lBPnIVBm2zROMANdm6zHCxq5Kl/iZZb5Nn6pd6zUNvY2Q7
Iu3WLdOr7KJPTROXX+UlNDnJDSzz94GbF9d2LkW4q6YYwWyftstJwRNE5orP/cvIsGUzCcuOHLYg
JD10KpW/Fv9aumMQgjxA37JMkcrAVP24JcKLj6aKFPjHjSpRGYxUD2UkayBRUCAo6f014+P4res2
GuOcS2s9PEOpTek8mWtPT9ql4TtS52q/mbukfOnrblcM/t9hTW772qfT+6gknL3EsMxg35Fa1qiM
6IrdqnFucXaQOuRJFU/+cValMOB1oLeUVrwij03EOarZCD3IDfMQFD2qdeZJsbmd0MPKV7tmXb9s
b6GJHKcfzKzWN1GU2g+yFPF7YD/cfjWWIAGdohGJ8db123rgqYSg765X8wFj3t4McQtYG9cw4IbG
STqex1qpKWdm6H1morL9CKbulk0M5C1jUs9v5s1Ej4L77Y6rvZbHsYT0wqFjYbuaYCtxFZuOnFN4
MuPMG6h9rlXFwoOpRrCH1xV6PxmbltK99QskXj9DQATJmQ0+rT+iNExFxteAcUi81jgWFI3piIhD
gH8siXtfbxxBIkUpoaoQZWgWQR5W7FExAwbPDkxWqJt42KvDp0TMe3OVGGKeIb+u26dEjiCBb3Bg
eGrwIBlt1tgsOY7t4Hw2ozZGH0xbizSnBo/zfhxLPx71VOo6T1Jh/NcL1vU8Dl3f32xC7B0+o43s
UxunvnuglfAI2EJDj1KaaDwBQin8G5SihwOOiWE4zoxpWyT12sWAy8EY9jB6gkME+hjXmAuUI0rD
RoN02wO0vIbgnmxU6zUf2BJ311G09vsV5Mf27xGDbVLWwRryptrHDdunlBiO1pNDq9Ilnybnr+kY
I+Csm+EmmJo9Ab08gSEAfUfUOSDUQFNRfox2wMmPEgyZ8B51pm3FRWRJ/N3JuUoEPHDaHeUB2y1m
OA/oUDSf632yfY6ZAuFdtjUic5yY3drn9VQa6JdDvEjdQSJNilx5bpbzNqaTvBLwAIc1arly2WQR
g+zh0St62YSRXqsK7ooTMiYcPm2hd6v82YGUobJk3FyHbYx+18uCu7M8m9mRqlihqE2AxOyTNH4e
U0RoxerVXOciXTm4Po6H9rnhkKkpCPTmm48dChpp1g9LXb8n247To4oiHl9zEfcs71XSJcWIatia
j8OK0lYGEtRWFRrkQvKQmmmWb2AI0qxZgAq0OSyhZGMWkj1FBKNM7L5FM1wVMgaqh3oDL5tVXNXB
ePGN40v5DxYBKr9lNu5EnnaiTR67yhOIJhskBXVj+/4pgMDfHhNtSR8yBrL9igJmPewVEnWHkgMW
9YagEB7t5QRjbWXLu3okzX6OU7INd8qgTptxQz300k09vxBGm/o+2csBuKSStMNpkWuUPII3KTj2
1Ex3j/7PEMwR/o1+PgLpZvocXRW2fB18byMYJO5OnqMO5ZSPpOsvM8SR+BTxrIwGGRUJWH+/oH7Y
5uBXOLtk0GKJkxvCE4bkkrloODXAWaxffRKULUrOS3flcV77YmbGtIeOUjkVCRxpXJtNcx/qI7LB
Tt2UKeTXAL7sLvZgcEsbC103arsuHREyB0+kUqyAEgPBhmrKHv1stELH6pqvG90RsziTnlAkGNGt
nxDbZajDxm0GwuiuiwnLoDum2xJPL6JhbRchd4hTR+F3CxGTX0zbd+BzteiQOVymPeLENI+6WV3x
xCRhO7expPIZmtG9u/VI7TeDL96kOkUMstHxgYmm2z5E+DYqyurY0XE5XtSskZCucl/T++WSQd+U
0dhuCL6Al4XAVCir6iH0sUWyMi+UY4OnLWpWIkevhSFbJbZXw7cmILsGti+InrzMbo0mBAOCIWEa
HbiNK9xqxvnaqnGRDwyHR4VQUer9e1ujG/FZaz+2x7RKh8hjdA0d4MXM5+ZNinAfezlRImVHg9Bo
eqlNyrzMXKyg1uxFush3MepzDexfUP93X9WcLu2ziZYxehwrNHzerJdEFYoFQXZJLtYJusagzZm5
O9c9+l5YJKmhx1kg8eEH+Cgu0w0YgBXz+Y4e0ohMt5lFIwrCuJM33qCTdIvoWvJbhEWpfTt0up2v
RUX9eI4WGLN/poSUJOeXmO24jH20ZJ1IfHQ7EqhTvYkWuzQ44yBDnytExsMhLL2c7xvrQHTpGRHr
u70DpDGXxKLJ09BugMTMXEXum+TWlO+otzj8B/gb6HW/jnbYdyNkha5hd/amogHxFCyu81hsbjmF
cVD0NKPK7q+6lu/kGVVFxq6bFp3A3JAeAIAD+MRklgXW5o7a1qWiFh2nOUmWnPJeRxn23B03NqTo
NTLIYxxJDGj1dGyiGP0ePqDFE7IOFmsyC9NmWDHXgqUnty1qP5l0i8gASbfELwo1vQpeaeOiYn3L
4tnaZ2ahqv4iqnTpbxHYNuLYsXpRb71Ha6boKqkrsBMBSHtshqHjN2XVDe1bLzEwNyGRrb0mCyx1
7lY8awJH87CzR72Ivrre9Kza90j0mnLNyYJoeSr0KHuUrVNotDUkX7CZTZRD+4MHU6APKKQ6toAD
XiSMxScoGBIb50pBALM/9GgF2eWMAGzGwDqhzfyIe3pA4RlgHLTSELup8JZi2EGuUqxu9/fonpTb
ccVOPqp9F7dIonl0k0SlQmDHCdTrkksbTyZXRHNurlotJna7dyOY13ESRvfJN4uCaEW7QDrk6Cqz
hTqLPWcCPc4EoCsyWbnmHIUN+7lfIVn/OEJ2wSbHi9RrjJrGxmDuLuddrTpXvfdtEfr54ijnLL9n
c5kO5xRMXn+aBrPQolqDGW4TC50alEgJ+q1jmMVybFDEj7PIxnF0RI/SNUUnK4W000zWIEKifUO/
bAIu8jflXuntCZIMqUPtvS7n/TsdGK2+mnYk3ZlQUB3PBFXf6Q6qAbN710GSGrHNwNLtNk4jG34J
E9PmNoQqsijwbYnMd4VwJEN9eUFvpbEWYL/JpXcL6a3PXYBx6HnGI+hi2ZOkzYGN5+iZp+kFXrvK
owKy+b5b4Qz8nvi2snez2+PhWsD2br/MtijBdVAuwBneilR/RZkvooVmMjIWYq3IZ3I7YLX3B0TW
LS5IHKSXNN/Pxj+oaF5pHqIonrFZ5DSDLmHYZQSVQbkKkcTM1IMVaxdBbqARzfflcj9+FwvkE8Al
Z9V5GlWIM4LzrntL5zlx2HsV6yeXGWnBqkaJCUZRoiYNKWjCIsBraDWV90ktnD/iGIUW4toNzfri
9Ga223EXPfswbwtPkbxMerkOQezbByl6sz5cNBzpyfZLmfUQu5kyRKPVpVhuthV3LhqYjzIEJa5t
DabBPRolPQjviI13lLamFlUrBuPKlLkvIK5OMgOxKPGHjZsWVbt5qp8Ak4gREa0wZX7SQDbiXoTH
BrQb1SpL9SwMUUCaDwT9rPVqKOdpdFkDvl+ajRI4Apqj9z0vLygkVSjeomBD3BdUK/YmyrhD+Koz
hlPWoYbYjWB7ZBCpR9553EAPhTnQsKW8/gSGdVjmbPEwsZmu+tWxRud+gn444lDCNxYXM60B5Sj+
zc4O8rwRk1foVFGXEyCCbBZJN5U5hJLpe4pXRzerrytzVvWl9lsh/d7M5cxMy4cxsfMB1YJ9Acg6
KqPzv5XLRrZg0+4Eoe5tKwjX45LtoWYPaFgNS8FLkL9/DMH0WlmIh3Tox8F2B6I+6vQdX38MXP9a
UIh1dEW7Bu9LmyeJokXDfpBC81pOaIRaoyobIY64JgmKSGoldxantf0LDu8fCFahZfBbUBdKYYkD
Ig2diQj7b6rHxt30PhqhgWhng4JTsmrYAgg1JY+bRekWCZaOSD5GG+bpzyFUF1TR76GNXgHLKrRo
tiaaxXGEm2lXNCC13AE8OOWI19B+RC9Onv/8k/4ITPUKCzpPFksNmOIjBAEm8daFsVwKUyHOLTxu
JqiTQv6hQ1S6heEvRvgPQJav1Yk08GG4TRJ25BKeHA6yM4cJtea/+EJ/9O6v0GcGjn5W1IoBOdJ/
bef42UtT/gVc/I/e+xU8FGH61JuqZMcA24+snsO5WTr6g2/+CmHm4tgN48LZETXoAxqpTVbGqDz+
+TT/0ZO/goeW29o4php+rEhkcaevZRbXuP1/7N0vn/ovPOikNRToIIxLsvfQ5nUKLpP7+PbP3/wP
Viihv31zPse9N5vGcqmFSr5b1JR8TnhI4Cskk95kZgEa+wSSEzM/ZM9HX8sU1bLyApot7Ag7VPYh
nWZ7r2OUV//8C/16uP7O7n4tUiR0oCgLVemxl6pGBVoNwaO5gv9eQuz4c4rIG/8ypPHArxqj3+m9
eRdjpbFTaZulRq5S1Qe4M37fVgrr5swJhGT/eLp//7b9R/UyPv7jOex//Sd+/jYaJPtV7V79+F/v
xh7//+flNf/vb377iv+6ehnvv/Qv9vUf/eY1eN9/fm7xxX35zQ8HxOUuvFle5vD0YpfO/fr+eMLL
X/5Pf/m3l1/f5V0wLz//9OV73wwFkp65+eZ++uevzt9//ony+DIF//6vn/DPX1++ws8/fXix7m/Z
y1B96X7ndS9frPv5J0X+TlBVJCn42jGY8RfKiMfrfv5Jsr/LRFGO6ywGgRF38E9/G+B8Wv/8UyL+
Dk83QRQRTAHWdyE62HH59Vfx31lK4kQKZPpAuYH383+f7zdz9N9z9rdh6R/HZnD2559+e18IIAQk
lHq4As0vBp/8NRMcki/V1EkuYRewtMeJaJWtFW8K1rRIfYfwF2fsr5ftf6/gXz8PmHiUCwVGROGL
/HZv6mQrIb2jxFXc2gpKxK1+AUIMqXM8mMMGSbGiL3c7ZQv+Ch7UYZUq0zVbnve57HK/JvR9C6Om
tfiXafvnsPzrMMSX+/H1cyWSyJSwJFHADv72uZS1qF8AcozLuvvsBjxHjH4rjFTYKXHptVL7eDV2
dD6WKG0UNTxa5+V/Jwrxj7GhMUsIScAzhdfZb5+hvRT7N73IK9Ns01WJVvy1jJvx3Z9/1d+Z8TRN
JJMCuluKqle3BroAq653La/oyE6s9R9kKpqTbzoDxJL1fzGwWKevx5VBnZZixlmSYiH99jtdwEpk
A9IBzgKCHze5dZmG+9hffMrlMno1ewo7AoUwTrCGk1erKilbdBBYKa5YjeN9ai9nYbc8rX3z7X89
eCpOeSwUvo/kr51ZWLRjRC/LtwRUKesj/YtvdhR26PBIdfsXl8nvzJSKOaVMgfQI/P6rbwVk7zgK
m4qrEQy6vAOYK6vRcyqA5+vyTfO/iK5+ZcK8HsUEpTua4kTAOfVqrhoUWvZZVOIK7WQAtddR3XpR
kqcOiljnsYeplQEw4VgDpHjaRzRIY9KXXwFnA91z2Kb/Q92ZbFlqZF36VeoFyAVGPwVu6214Fx4x
YXkTTmuAGT1PX9+VciBFZv2qGtZAuaSlVLhfLmDnnP3tfWjEAlYbNXJKyLKhgTdd4tc8O6gTF5n1
fhAQLEmQN6E6jWVTxLaUpGyzfjafonZWc0z0vZWMbglJxIjim5ZS/4OD4b895yHgoQiFybv4P+7H
mVp9BjXwDxky3Qn9JDitk2syrXOf4T33XZn2p0ZnXz7n5M4RlXiaMyf4h0v93+5XJolAr5bPHPp3
r68u6aLctA4PdT06JySZ28b0mC6bufcPBdZ//qTwEhRiCyayLtf6t+807/J+Dkv0bz/FKb6MAch1
K3/2+T9ugebO/M8bNjQFyWUCG63t//nv/1LVKWnZhi96/+AAC++qySiOmjf+vaADfvAMbgShhqes
WuSuHJmjJENgKqjappujCpz2GPbwOavvhyMrCV3vcSwm982dVHCcPdjTGJ/E+hj2g3M9DFN7VeWy
YMdyvsqos8Zy2dcB4qNirg3K5o8nM1wxBoCN7kPdrAdD9SrRWomd7YJm8n80aytys9ZND/MgFMsl
rPRmBKO8a1wLf16f994umxaRTGwSv0tNWb6tqpQnUrLmnVkzcVxD14hIevRPlRr818LenLtZ8MG3
3uljtM8at4UGViLV+MYq1ySsBhvtvZOny166uJfk+7fL2D05QnevYmy6N7LnSDHNVSMASZkKsHcE
p2wzrfsmbOpjYQ7lo2F26i4wZQBQhDSXVHrZNDm/tnplrpLeaGZhSI8ogJNUwYc390sbpab9ozLK
7w0dMey40XpXABl3dqjtW1/mCcHxR/gyeWwmy+54A2TiwbICXAB27gVXpmP3dxsydpQNyjv0SleQ
HENHfFQIflKrIqGIH+vz1ALGRryl1utwRLyIsITLMRlFOvoxQxzCW9Q8/aJk4prMdnOdI/cQMjBa
twoUl0tmi5ExFVqu1TfTCxH3pLFIt+s9wjvM8IWybR2AUMPhOailcxpHc2LcooxYe65zrSZP7lpl
pn1UZJdmTm0c/VGVWRIkvIa+SaopKI4iC/W+Cfi+RT9x+Sajd99Sr5qTjO+Wl9BkFTswJ/cHNfN6
RTPh/LBzpjpRYFb53ZQplBUCYvk5wWjC2vPyWHhzsl7Yiyo5hy9z7w71C+RSA1pilh+MGvkMfupy
xzMk7R9ZSlixpimfu11OiYMOquPacvyvjel6GWE/acDLBzstD4HoSnSSalyvRSXVefPYNp4UsLA8
QpkZYSnyDmKjwIl4H8h3z3aJeyZYhf3SjlYnHUo/sjOQgSk1Ua83wAF0oSwE2zc2HcM1k+jUpFgd
luzo2u2UR0tj8fvms7bbKA8Gr4il8PIwMoxiuxaIZuNkEYkbuvoqGxr5aDfzEFfFuodgzZ+EGS4k
1nfDvud3OzISQcBTQ3gMXFPy/S4S6mzh/ri4nKCm6xEet82sl4ksvyt7Vb9a1qPsipFAHp0r9ZMN
355FgWqrE/NPHbFBRcSVmECLrc2dD0bAFII0IK6+GVQ3wQg6mjPFPuUNwcCl42ZQV4V8I5W1vC0b
az4Gtk4/oSPcNALfn79NpdklNV8xG0Ns81gWZKTN65QfmNWwE6nM9cfkyuGbCPv1GCIbHHQ/BjsF
w7CHqTAiKcL9MlEgIrIynkbH3y0+mYh6ZAY0dWf89MFVz+RxgPCbaRT6LIjTMn3O1sm5UtrK7oyK
1YCaMeFbQfbts9jcYVdnme1GOtUjVblOjwJe65jLATzFLXgUAiNDZ4HG8TqKYync/Crrptcg0P05
aM2KkJB1jeZxHI9kyzU3Q+0GoI/kUyctzipGjLqs2exQl7Ezlm2y0GlGtrvd9vZlF2rpb49C+f0N
u+KL96XgjWsaFz0mtYqDUtVyT3bPfCpRGwBKTHiSagufPeVsO2QLI2kYCN9kYfk6wu0c2l4uMaum
+jjz7tNaPphmVZ8w7nunebSrKK3AEbdpOkBoG3sikudfzQyHFFVIkxvPmmG9LqGyb5y6v8Gb2CdB
V2bxwtIBSIXVuq4H28kiL8jrvUZtTty6nfctfpuotwYaCsvrwFv19JD2iIt77fgYnQbye/BNfi1e
H0HmuU8USdthVLmK3JZH2bPMg2V57m6eW/DfZvjWFfraLps18i2jizfe4KyKa97IQMb9xCe3NcaD
DDeYcgCXer9PcvbAot1Ax9rjbGPZGNOHhijcHWsb16sycG5wHDVJGBik/djesp/nUf1MQ/AGf7Xa
2Fu3e89VWKXnxpsjjFbeawOUx/gnW/e+wjCMlodLJr4onJRVINPP1GXLN9EU9rH27PSgi7mOLV42
t4WESLKUET6y6s79oUOwr6SCleJqeNJbeJ2rcomsizcz8VWbmjsggAqKpuWKMIbY/PvaJfOD02rT
36dc9++AoCiSyg/1eMrKdSEpoZFNPPTb1yqKhnRuuNrZH98kytOJP26LhmDp96WjndjCmZj0a/3A
uz9BtbDYecwaRMDeNBZ2WP0Qpq3O8GdZZI3bhhA7wz7XWb4vimpFnQeDrWZ9pbd0ufNr52USaBhZ
aDzbLE+LbQ75e88AJeu3FJMHK5AbP2L/JHduddFqfUc9Cs98xDilji1D2igENjoOfVWeLxP2o1Tj
eBohYi5GRpYEei43xaSEOGRt7WG7tYxdqnv8Bp2or0H8xf3Y1UXSmHnzow1wKyvH3aXGWl41mrfF
glD9xYFU7Mpmro8bqvczgL+Fy2dx51+63lxkCrORSan7LdrwtVAzuuveMIL2GNStPCFQfbVCtOdl
Tq1HHGJqD8tzX2hWIqJPunEb2ssYoaVNL4B12Ze7VXoHeL7eqWA1T2jn6d5oQv2wuXW2J6vhU4dq
vLUaI9vXRdicWW/FDoGqHKvjMpnLAa16jcdUlbtBmt8U8nLc2zkqYDAt+y11nSLKnKw5ly53QrAI
c2/ZKGmLKLd9uxTVlbMWYR0RMVTM8VINcwyF2H6IRdRXaSOqYd8MXJGQZcyHtMFDA5IcRF3uXVXO
+Lrqpb1Z2uV2qdv+05XdeI2O35EUVS8xveEt6eP9Lkz7/s3GgXKQpppO0l0PVWu8NOmK4DpuXbZT
JGudAXvLXd5BumSjxzrAfhluWcZI3DiH4HHpsnODgvns4FDAsBOIBC+W/lTNvHFyXwZpomjhIseM
dCfBu7lqPRLuSV7/diGeYmx7XhRIYWCHNes2YZAx3S+5/g4EPUStMV7nYqpjuc67luFqQlxZt6th
fXW7wAlN7XaYwmGKawHXsHX+jdjwzAmWwHyjsHd1lJUpnt0Uv0ljYySWC3heaRT7zm+gKM2PxiuO
42wNp3pcNfRuL4526+PjtCZOYXtBOC/c7VCzFZkllPu+dX3STNYV/2hnBOewXcpEEOt1tOsnfC0y
UWNlJbRQSaPYS0MpX+2QZrOdl5fpISdI/WDz8/HruB8D4TevrGFDVmSNmDmv3m4rt+PQqWfQ2yDq
p/U8GONLUAqCVKYNvU7/CAeDMzo3PoKifRF2ddMU3mM2cUIV0rqrF/9XVv3SczAdiLocwWYzeOkR
6lp15871rwvXujFYuBZjVO2va23gtAita4dQwkM628FHi268zzDAcUrFrGqcDrgn5ffN/mQUV+8D
ofAvzaWMa9XV4LGrwRfYF08jSY+8xZpnvQUvnir5S71VXfoTZvs6t+ofDijEVS8dHY+1LtkEnz/j
gjm6Uj7NQfmjEerUDU4du31zyyIufndB3J3XTfNuZLYbDSXOOhbSsdbEZX6B2/fUNLPaz179UPJU
neoyf2fscMK8nBiBcmG8rWhQ05SoMk+PniXIZgM2vFs7v/811HXI0Mw9Vakhz2Hh4oxN5+0g5/S9
sn0ac9r9p0E5OW/jFJYMdtH7yDer28uefXGpdPc6NOvzWtVmLDBzXEopT+0ce/XjvA7GBK24TAIr
1FHYNDfC0Qu69UKt0qUhzf3sHAwWdh36uajo6g1qGD4wBiX2kQjUYEw5TbK1fN/0rW00G/4jRu87
x56L2BP6J7Tfvh+o8xuP6lNWgj2DKe989JSYRLyHfLNvEKq/Y8C6lR5ybrPwvWcGTtnSr/Upz7eO
Q795vpiAY1TzSCxl91paU5tYEBVR0b77hvPdq80h3jRn9tr1fGkaqEfY4/0K1feyMAzFdeDWRz1n
1tHZRLvr0nyNQBHKt2Iah0Pu4FEZGYicfdCWaIXGB7GaqW19/ZMY/engeB6f1CznSJbTnWspSHJp
t+wLr8cvnK32XdEuVHeeXe8xQLZ7I1yGBHfKTUPPsi/pf84s6qM4uoBr2Fv0QIPBikT1mqMkHwh1
Hw+MWB7VmLX7tINfnbLbgPLwDjl9xBq4McsIU/iKUIC/lgt9M8uW1e0mzCbSLFbcs8tVUf3r7zYJ
PjsWgJp7UWiT6OwhjHElLU/CaGhdmo5aUs/mPmv99mPhQ5197deJt/CVCmvsjiI3xgPnrXnbqdw8
ZW3VnKU6NutW7rymFTdsXKx3WY9vp7ID5wXy2XsJFvdXulgiEaKZDnltm99rVu0dG6s0Hrtu0u8A
ZNn9gDB/A2LaxaVtG4duyKfDIpecjYthf+uC7uwIMW8SP0cmMRUoUzRTzWN7snr/2Wyr2BizwQYq
KrgNe2Z8MW5MaUZjDqrZQyjhz6l/rIpSMWPi9UGWfbMrlLXGuaYUGmiRD2Hp2syqS2ol8gGOZAC4
WHY879xp7FfjtiY0TN6u5vHdw/SM7I8q7d1culB/MlvuC9MtqRar7uyTw5o0vfctZxAFacc3vhEm
cxSTa0GG+qLCID0ekPyLG2fR+kSAyK4J52Uf8qDTS0nSJsti2pWFpq50bXlDFgAFblNjDqisOZlI
Cjh126QP4yK8g6wH94qfs+7GosoPG7mNx7Sag3MahCkzl1YldkE1TwP2OPfC/lk1pRV7y/C5hPb8
alXZzwbw90Ytefq9LrZP2nH9EM4KJ1ymMVMVMGd7q9LTlWH2z0K43/mx/bnR4QnXvbPrc8rh3lnX
WKeM3MTS4zs2lYbUNA1mQ43u7Z0Elj2G0rCYOhYeprKG24dQrz2bItNsT9PnfB8zbSXcgt33qeSY
TiuojqAZiYbIMRjGa+k135hVkEBhzGGskV/fyiq3QZ8L814oZe9yYk3XCM5D31cifFe1vBiYx8sW
NJuQAAen55xu+BxD32bANPqY4xp93bTEdXvhUp2mpWEkqlJvp4xWHgwDczapNzh7fKs4r/m60Zjp
lhQIq53ZVbD9nHvHPGZbtr7mrcbKUJaaCYf37i8YsHKX3ZxgmtkOAK27q+20jSFGimtMF2UchHZ5
4vb7Rox/Z4GWZ+pIHnN+nU0we1vbFldimooaxpOJ6lW9jLUfOaM9fVtL0/mcylkJAL5qPUyzTxCF
zUKFVwsioto5s7+4Oz3mxVfLTeaDJ6wQUXk2rE+bDH0/rk1Dp7vAWAbSDSpdvwKFjTtjnen0tmF7
MkXmHDqYoGe9Vk6CavJYsovgqENdfchU5XusyEsSECO7MxuPDS595z6nVXNVDdNtIC19rgEvyVTk
7OBZrTfcKBJXkh9AxDv+BlqL5yhHt6zbF36QfpZ1075ie7TvrFbe4oSs9mXTQb3lobWvrZl4jZJd
TD+6trPPgyvFDla5XRNYwvRouenE+td1e6zSST0Vle3cmNjQdrPhmJGJGTZajZIpe193NfEmIcET
g1+MidrSDSv/avFOlCbnr4G7WBJaK6cY/t0go7BVTuTkxiWbYkz3CtgQ5ktdMqIrDoPIh2ICx1N9
vTfSuXsjNUO4l+8Ezy3vn1sATaRPrFwySmkmDyOXOrjm/M6rfSH0Q+r2vL2qB0wY8hBO+RK7zC+j
jvCGG8jleyez3IRJzhTDonnRNhm3DNx9rNdz3E8pL150hL0BTIbjCTiFmIKkK8gkgN6KQwMGzlgq
LHRTqKobNysVGRP9i6+KMk9yuHkahM57w6QqjvBVIoZJH3ZzCFyGpDw+0FKmPP+yPMicvP9FdfxW
Q/46r5x+wsWnbliVeWD08bn1rDVoFpbLttv8Mq75Uc3DzP5s4LQwSM37XoBus5rGJHHYqEhL851j
MzR1vOaVOttB8eANBIm203ROYdwMHLQ494ggkTumOuON35fifQHaTxNZSomHluicAxbTyWUU2g1X
jq/Z60duN3YtbQafXjmRI7CK7jvjj+5bE/TDw2Wj12sQEorBlacvZnS3tybt31HLzbGniC3Dzv4H
Zv9ryDN9DDdruXO3bEtB7Or0nRksFT7z8u7qskwenybvPDOCOQFJGqvGIBclU12JpyAchq/KMa1l
Z1rpZmIlW5AdpdvkvDPtLnzmLB3dKMdiigV/HWmDqxbk8TSEa9dSdJtIqgHpKFvry5vBrcrnypvS
HeCGuu6xEyepeVFc0sL4uXZdvNQFkc45wQ79OPcPLvs3D7KzzDvGIj5/dA+GlZHyEbu+vzBEp5YN
Y7Vgz8Mowmv6EtqI0rPEjW4St8PQndY16RXYnUAId3RAadzp7mvc9HMzLOFzQxISx262ln5EBgbG
LGt7lc3yfevZF+IMldjnU5EYfYWluhtIp1mL4py1zIQQdE5ZXRgvgMpFEhbMLhm7V3GRb8W5S5dE
ytzZD6wxi1XmlsfADGlmJ8dg8EJ41YkKdmowbEpvIw2HUzFqIS17Rjsz5mcdEMLg9POYRYGRs+MU
VcW4bXt7baG6JHMcJhr5o41D7oqij+ib0mt3Q5F3j4AZ7DDyBw8AtpM9KjUDDy9l1ZMY7oF5HUz3
LBR8MrNOHXWV0URqupU2gUDUZ4MgL1zd5rrsq6DXkcoYa5qz773yubY9a0CAgtXoti/2Ng32pWOp
71MzwyZjbcr+XAUgYAxPSFAKmxhFzGSxew7Wy8uymi4j5MpO7S/Hqwh/mFkZdcCRXHO8MS/57i6V
/zqsuX+NItXe1CACDwif/skTtv1sulnWJZ6LBYeq2sGzPNR9+GNag5ZCxpDNyeSEM7m3zYJxmsfQ
bnQlz1Y5tcSxGZZj/XIw3D6PPMIvqVl2X5XfbDT+YS/vGmUKJAbMCVukQqf6VIZrntIF37uJMvJI
GnWaJVVu9Jw7rfdz9R3/zu3K+r32t5SJKW6BEW/NKxEYE93xmMm3ksTqcycd/rmZQ8YQtUHDFC9S
E0PUte5j2GL/i1vpWG99l4kjdPUkI4y63n1lEvERB6rP7gHmme3mxv5i8n4x+3D4ahvRviAipd9l
JtsfBs/+zui58iWXszp5VJLHtSm27+lKTkSTCR7NtUiHH0Ib3htTYOdnDTcXT90GQmAXmFp6SvjN
nnxCcx3r3BkO69lkW+6kvy5fApg7NpjbwK06TtT3gYM1RTX2i+HK/ETOwnqj5zn8UVoAyKbfs9t7
DYqzx5jZQ8cYun3X6vRtY8jCA9DW6kfQDOl5o9amqN5qfagoANmJK/t8n03uE4dX82vC43TvNdo8
IDYYQNmuznaUeSW5icbPgnFPCyrOC5m/S5PJyurDlFXlLRzHQEgMqsTObjtyLfwAP8uSMe9yC3LP
yOWS3ePak4gSVSswNy0VQ0hH9Hj3h7k+OfManJY0H86kHnWfZGEgDLY4RxSWEr/eIiwy9RO+KNNM
hkq2N7wwAih6OMd7Mo00qzq9ehHxJBRddEuSudw1RV1RZ3u++LBKPX9jYD3fQ/KqR9Iv2l+48Oqb
xmyq8zam3lfouMFNOnTddeb4hhELa7K/3HFof1Wimp3ImNrxRwN68lpq3ftER/jaS4JCkRuOe89J
IxhsD6uhFyY5AulT7yqiJgMc3UXkpL35YOjBecl8KT+bTL9YIVPRpqciAYLfSvbTkyHAxF1V9xsY
8ZvsIb1izex0pJ4ixsNn9L4d+4GxnhtOvST1a+Eij91EgWF43Waey1w5kiUyFs4qvaTFLeyn2yYu
qivvCOK29jZM1xWuGO0nFfOK/Yybjd66mXBdioDDRvQVQnQXGObNpBySf7glxK05+gzs/GFYY5cF
DG+j7tIqyXT/yrrCrkykr/LTJHX7kPNFkaqDD/YZd7pedwSC+J+URs4UsWVv/SgzvFVxXbN86nhJ
XqCQwgBACNc8l/0htTgzCU/rFy/2w8b7Obahl0cdJf9VltrzM0Q2J1vozYdsM5jaG40VnjN/fdca
ExHK8bxEtNY8J9RIfALEBIvIglZx5DLHXtBx/B8ZYWaf+NBTRpaDG2N1AxWxrGscoxCOOnC0d7Ad
j41CkHeLgEXWCB42/+LJGqZpjLoV0m6HAUaidFh+O+ycvGB01lvlRwqIffKdwhVxnQ2mlfimWexk
naoPvforp65jcfwj3axXBJLUsYkr9nVTqA6IGDRvUqeyOrJCx/4s68G8WrXDwsl5W63DOklWulaT
F2PQWvdejQjELdmc5mxEKPMR0+49Ak+ILnNGTpM+7T828FlKPGHo76Wfy2TG3heRSf9lT1Z45RpO
eC6hre7nzSaihY/dn1fd65t1JWwJrZYef8Uy5ZlGZKD2Heht2jyha+6+SASwc1bUl8V9Hrh3Nbrv
QWSK3Csp7SIWREccS2mxFgzdPt83vfPmtub6YHil82F4jHYIYrhehdV+jq5dPtt+XpvHbW5Dhr+O
eg05za+NrLVu6641HjJD/BOIccEf/o68hKYDBcXBLdjf5Fzwib8QCyQX+B1xNcGlp0c8pWPG2tvm
dzUrIzi3KVXvSMUon81p4ij9n1miP2LR/+OHBx4qqPAF4M1vfM8mDMyg4UI2gZcNd6HX6SOZ2KgI
JrK9PS9mnNKTXaJRyulz3jhS9DiSDDlVFjag/qPqyOIJAsmwszOJRWoQmHCC2fuZMh69WVj3DZlx
jGWkRxgEJ+p21J7Tnmen3G6GvrjtxYRUQVrI3obUqmMC/wmHmamAOetrg8F2JQ6ExWMNgw7CR8C7
bNQjcRCz+7SMNAcu6yLuVeF9lKx4jQ1/Go7K4IVfto3fYuO8oFKEkPzDpRMXhPe3Sxcys4UztwXT
wd+3NUluJS6fQ7UOQ0nfYN47zrKykq5cT40FskSI4nG1Q3R3i2WQV0U/rvuw3lEFXBiDWSRpkYXE
MOcTIYSj9HYEKE0ns8Xu1i7GFXkL9Lt1RQFsl+WR3LB/imn9jeW90H5h6CJoOQH/C59zIef+cusV
nCXdFGKqNHVX0uKE00aq8rbkV5sxPFjL5JH4wa/DHvX8bJnm+AvFazxp80LrMXBzrabiEZtNxh5w
G/9wb/6X6+s6XsB96ROl+DskmDHD8yxPhofKYlCFFJmF12ba6H/4MX8kx/7+PYYOxCOPAK926zcY
sUMwZtkEKUfInytRoIJUm3nWY7IstfcuaOB5R1a4d6y0SchC8R4KilDcQ7OqrmB2wrt6DSqwGR6W
zm3k3WCP5hpV6WbsnMJ86oaqf/mfL80fTpS//s68r03LJU6Xd1DA7Oc3TJO8rY2BBPfe1AteCpto
3Ng3GQ6WadVhyc6dl7C6w5rc/iDOwyJ/T5hxPtX5eXVWLwFmWD/dMlz+DC3/NwZ9/+dv8Btv/ds/
/t/g1zfFh2779mv4nb/+G7L9/xOkzUHMa/3/DGk/D/i1/te9fvv81ed/w7T//C//xLQD518BVLVJ
JJrHoykutyr0BZi27//LDG0iwblREdGCi7/n35i2bf7LsVyPh5f3kPDdy7KB/t+Ytv0vBAxubDbz
OljQvf8nTPvvVgbfsRgCQf0At5qcFeC0f39ZDA0ljx7d6cCizfBxHvV617QEssek++p3I9x4GswQ
3PIvF+rft9TfsGjvjxPwr3c77mZ4VwvQnA8Oqv7bTx57IgixdU4HfOzpvtC2271JQRxHRHyEg/DR
WVVOYNQ8vtaY4qEeKOCrOPBZHhEzWiad06w7GtOeEJgfqUqhVVbmjhyuazbEgabEN7Ea53El0348
zsJq9IXhI6eBVa82SmQbrO/2rCJ7ICD5QGvq/5COXN7WVoQv0ixlvkNLm76t/SU5o4JSusJfjs4B
+sVcZbLE+NoAOe95EU9k98orB9UWHz4JP5sX91vzXoKO5YONAttabdKjRjNjtFiaPZffwrHyv4eb
pw7kbpTXmgnJZVWQgxZjZF76bEwETO22zGhPayAYhqTrL5/Y3oMp7X06leI0IDwl85zfB/no76cF
hoXTES3Cal4K4uhi7CqaTysep8BgVBeKh1US3uuWNW5M2dLCgQjfgUkyQuWYxTqAYD2P/IdauZdt
rHVsDKgclBAlgR7irTM4+bLQuTLdPulz4o0yW2N+rPeYSJmRXw5yNLSDR7Rl3Ls4xvqcGbVI+/mO
16+6NsduOG0pw4i07kfmKqNMWorK2EJNiceMqcQwF/6uAidGCCTWYHCz8STQO/akzbknx/RJIKUf
21lULefU7C81TS5i4qk2BP9GHKu0HFGrMnnOZeUdQpcdfXpbyYKetcEKH6fNmAVnNTqo4Xx21pQd
R4d4VN/wjFsiXJqTRV3/sG51XyXkyTkJolJBz3VpJKOyNG1ixVDBssQJfJJkMdLnRDLaTv+2+l5F
kONm870zQaIlGJ3gxl8L672ZhPwcfEZUcYDTF9WQeM0HJm/XjBjbOpm1WdyWAoh5WNUVUXXGmXF9
d8432X6XAGhc61J3RCZvrJEgEwhCPKaZM7wIac8jTjHz2nuJuoUdO3UtRgEoZImA2brFP7cxr7Ds
+rqGDD0shMnIQ2XkwaN0Dc1QhWFLorxmEzvXsAYgS98Lbkxt53PUq3X6Jgz6AofwsOzM9IZhizIx
lxNdRgZqKqrtVvk2oRAKt9ID+VYmWUIFll/mmPKaYHpBtgN7kElKDrKjw0rApxYQDa2WSpXeLyDI
KrJXZyYDgQDdO1u200uYKZdxHdjEY+UtgtQ+w9HzLnAZa57XebB+tYpBM65t66UCnySaRlrOF/xS
ytoEWwAmEIiKpwq7h2s8BOSE7b1QbVdYoRHp8Elo5l4KRIwQxDJ/GsGIQEqVcaU709oTrtvZsZsV
/sO4uc3M7yf7fb0ZdynZRF5WsWAmv7am8tCZBpuO14uhehL1ccpD+85ziLFSznh92YtKqoRXXYcD
tMtmQTEIcvug7cnxKjt123hbf8+86jOvLA+KmmS1dKizo1n63U3j+4SXZHwin3DsfSZ9eiKyZg7E
9AZXJPmJ3TAv7TvBiiS8stv31lzLrEjkms7XaV8tXxLPP5QDWehXIaRJzg0ciDTemhXVXK+u9e6X
c3GuxVhfocncLT60R0SkymAnLHvuvV+keRIyT2oVUZ5BA6zRL8brIDNMU6RSNJ7lPpOCQZfaTOM3
koVMRfRKGiSYlSeGINuvzla8P/rWcfY5HX4SitW/mWwndllHhcF8IRhxlllxImpD3hsMqVGabbZF
m2wIeIC3quynCZSUrI61Gk7E4k4fgyHHWwarZBYgzJFyj7mLfOmJwnZoEVBKeyH70k1xsxtT9h4A
xSZG4wZHO1j4YK6P86GYuRqLEMC+bX7l8j1Cusz8CQs3cDZXt1MKbD1n6XGsITsY/5yHOvdvOljV
MwbJL04nEPs27A61VlkZedwp/am0KxJrU1VlO71tlI0F4apNYqxKfxYgWqgClTavfa/p6aHSkiVR
uTYo9ALk9Zslnx6KNau+D4UmyAVN7ZeZW+MBdZql5yEPzMFVUzAdu452dzdNU0DnUUm0FPCpabH0
kZzM5pOi1rnvF5W+E0NnOY89sV5jPGwNuWftYJvLJWVQl0lHddBGhpXpXdVpaMoC63o5mu+EG7V7
ssTAeBhaXZGClyy6eTWAykklwnC8JFUP8kHn79nWoZAj/iqnC1ivQDLQ8DRXAgjkEjF56/f+vOxW
T4uonmZ1vwbNt9TG5Z6PbIH63+ydx5LjTJplX2hQBukObElQk8FgRGSI3MBCZEI4NOBQTz+HNWVt
PWXWNtP73vz2qxBJEi7ud++5XV0Yj/DHooeJKnO+abROaYI1uzYNLUTM0Kbnk06hQ4G9YjMio5yy
hp3Ja0FWqRQRQiYX0tc/jZy+AYS5h7GTHBVMm1gsleFrg9HC3jAiwIoxrmUbC13t59Nm0a238weo
/BHKagjRnzcZ+uwp8+LX2MF+xJWOD0A0sjzHDG/H3oU8XxhL8lTQQrRhRr41xoi2Y2GhqWv7nExE
AnOjt/CxwkiYYrvntj30F7CNXJWBjeDKn9R67hobll/U7mq0m5B3aNxwFnTWBOvNcJiWX1E+8EIW
FSV/WChWOb6yS+UP1Y4hyq/RS4wXZIx23weevh815CoTbb+rQInvWIEAWHmY0XyFYcDUhHu80hV7
keE1TrLgsTNmHl8oT9eJ9x0ab9ev7XaYsNYokW7UJONd62N9dGjB5oFPXe/EcaH7SP37m4ox29tq
RuyPIq0Zp1r4roBgRuNHIM38SWJuPCG4qb9gWMTBYMs5YAwb37IauLS2AWxuR8/EGQMsqMTPYkZ/
gTZjefBmzO49fRYh22y0MwYfiniVWskjNDl2ThUP5lHE7rTD9ed8BnhNzggS07UIejWujLqEFhhp
WxxB3sOuHIasOMbUuj7HgeWdTH+wXkhaRH/yLsKIX5d+sQPJlSoWJis6ZL3pHUH03ntIpyzYxI6R
HnlUOvou8FHHuwr7N84/23olfAPqGS4VM495wsNkQ1Fm7EZgIBeBrHgTyuJRMRl5saXI9mnSYcSd
suVetDG8w50oQNnPJShyjg8giMtua3caW2SPaznYeImzvKhsnv+gvBc8pr5STy20/KcgqXDiqFQk
zGMjvR452m+5I3av/lyZD1FSlscEwXM320PDzG6WkKL5HMTvqdu4zLPM/AQBc3oZxsLdD/A2bkbg
9JwmRfToYCG/5JZvnfrSl+9GPirmXk317rgR6HR4UKKPH1o/E2fbj40Fi4IHdMhXLmaXNDG7NSue
tRL2kmKOc3Aby7bdVYbNgWeM0mlNBQ7UTt1hh1nlFlroSnlR8QBtLtkhqzQreyg5MBZzzxTWWA6E
UBTTqdL65YhhUCtyrs5LFI0wexec4tYjWwT7m47lMLOAWSIsOh/RKgf/GCwlnQVOifaE7PeglZut
ZR58Zmlt0dxBeVvqk98BoyC2TVMnPxxa8g2aN3T7eMmZbOkJqmzBUPtQN0P3wUO7PBlBx2nTm+Ai
t/wQJG37bihQG6+g90IUTvyI3cF+GCHKT5+VY0/NbZ7SJn82gJ7SBYAsj9MMbTRYR7SxjHfn/RQx
tRiwy8FTIR8qQIrtYIJnT4U7xi/0k6d/FwPRLEDTw+A1uvFOt2Z3q1E5PxCz3Rc9ETGFAmMH73qJ
gwXvTlo+x4WR/ODmzo70qjifjQtSAkBVCm1qrElPwaJx/5DCWI7xSI8I8zsCd3NrsVYsjc0CzcGb
Vc2DOLBr4Gnh6uoc/SZ4uz9VJN1fHsnJ9sUvXNE/RHgUHMyYo11urM7n+SkyqJtMC1ErvHgGnVJg
Xlul2prTQ23xIQx1bMD81h7wkb6YSWHkiqfXnTF2hBX74amyMpCcymnqh7jFfxWOzDahMdcSlwQ8
85l5bX2Hz2gHXWRMdij39Wsd2PrT5kq0bqDMPbWee0uNIYynvAvx0vinfo4BBfE5XOWEPz+RsMff
cRlkBwEv+DXD3/BuMdrzseTM7odI5+k49OO8HQK/utqLI27E9xg4wZyJ9m6Wb5q5VgdO1Ml5sl1I
RPAy9pqX8HOQ8XDuK0M84uxtt4VBSLmv5DVlCHDshU00cdDZU+ka7oVOSrpsvAB9f93U6bya/AYv
vczn6FS1RIlcT0aXOPF/6zj5AVw43XSNgLaaGiBvKwdo0qoTQ/BX+7Cw7y2CWxe8NRA/O3lt/UC/
jRlPDr7c/i0j+xGSn3EupVbVMc3d4qYq92/sJhgz6z54ajjOPuYFQPOJtM0fAtULO+ho76mZEPRZ
Bv1xiWFvgbMbX5XlZKvOUMlDF3nZI1xAZwOBijKJwqr78wQelOluXB8EBrjbgAAQOnXKvBnsev1I
OjP/ambbvSVF2dNVcI/q+VV7HbwRNqRs3rQ5peRHQIByPChokJyqwF+3iMpbpfvlMyEWtrImba4V
eer93Gf2OyMJ+zIMqBg5fpj3lCDD7yhlzfdizmlsq8PTHFfz75Sz2EPZx8tmgd5w0dCznntOeSQK
wJ1uF+bgR7KJ9SUCrPRr6FjvZV3p32nalpto6dPPGYc4E+qAK7VVDvLiSy5rq2Hm6UrZVYCepj52
HvYUf/SGdTZzx3IitQUpmF1KZ4hec6pIj14dZa8ECbigUujDTZDQhl+TaCwSx3qUxCSPkSREbgw6
f5nm2r4kDMz/ulR0NKvULO0XCPr9g1mw5zE4jJwfYMDcsHSLo8+MuwBdkRH33uCDZm0cYOtYfakU
foPN38chjS71Wz/VEAn9YLKelTfXL7K1u88ME9q0kko3ZUhEpoQRnUefY2/mzSqIWV/IHrXicWH1
wx1cKnHGK8j4Efq7225JikSfcT9yv/J06nwNohSvFRVOayVl9TmNFmTSyJRvFUPiNTmo6hxzUkux
e8wZv1BWhHQB5dt0kO4TlCNrY4nW2/NKdtfW6oYLOS84ToUeTtbQwPyw/WhDZUW+n7Uzb5ekq86d
z4IBk6x+b6WZbmNVGE9errx1xsx5Zck1BvKhIhRZlT/4DMT0AAE38fYGXLF7JJCYk8aq+4pPr2Jy
qKb0L1RnqFytOW9m5nlkCJcxxv9RzvOb4g4ZkpehOUOmBibGfow5E7gRF2o76dxiyymgPc/mkHzY
QWq9yKzkA5RaC7+D0VVPc+VTXXSvWnl1i+Zvp8ANbho5l58kbOa/JOtIn3kGy1BkLGFSNMxjB8PY
iSn9UjHCFjUJKy3nz3zy5hBHibkee4weY5KZ98PYK4tMdZ/IPZsRLOFYp8YpznqfdxNgsA5yLzTo
E1Aa41yi/ac+7dxr5EQA7mKXxh4H6Bj1KpE6eLT1nEa3FAfQPHwcDES/4wKYsArzxLlvU8UWF2UT
BhLje4WftmRjP0169i9pPCchoke7s4LI/MK9DGHNgia3UmVV8PV5cxKJ6V0GblDMJZ3+KZvl47wk
FsbTeXzChV6WsBQd7PGYz0gcQKQCDNZePdu83jWhD+p73HoFTtJyQmWU2ZWTHfNVk/XqkkhfoHZ1
XhKvgsSNGfRw8VzJaXHR35Y+dKYkfzVzmYsVBHFx42iQuwR8VHQFVI1hYZTdvoe6R/2Nk4ZOR3zf
j2aeyzwKGHaRDN32xC+wCOmqPbktWiJJODt6a2JgeHCcuo+MWhLqtbTqViIBpte5g3dzUt1cGn4a
M+Ymekws07mYtVEinAWVPBF/JTxRkR+y07k71b1Zn1I39Z9oWqy35ShQ8mxo6u/3mvor4lrXbzyn
40jjy0JtmgGTJdzlOtvE7vwdLM0S9nZMaUJsmz/GEuNCjZboWbAyrYTUNr0tNTk2sfhqG2c6Brpr
Ltc73mKX2HgTV1ZW+BdCN/VtMTB/rqBp8p8Mp9yLalw+pyGXBCnq7BcxM1bBqepgSDnUQdSIVxjz
YNRduRPYkLlhNIamOXDmwpjndGxmfTWsGMbjYwARumpt45ffD90qm0d8I3Nx59zWhNWyKZ9uMrLz
dTP7xqHPRX00aNMCa1c2v00QnyFTX9LERQarOej2XNeZRBXNdTCrfttCymAvm9hI+Ufv0Lt+cSYa
Mm5p06llWCYZXWd0lDCWdxKecRyCNGP5c7TTqmktNh57eLBwjL+C2reA6ZOxJSCTJSuUqyWGHw72
W4J+5J48pvWLgk9rblOvm+ZwkUNWbg1QltVpSBIbSbam1hW/sOIDCQnbeCszl9ClmWRozxyi1TrB
cfEEj61NT5UU6XMilzv7FrcliGFP4AvPmlT/zSR8Y8wf4jd1XOLJpxPJ2soyN5pNBrEx35LJZd3K
moTIRZ4LmJlYq5wnzEEckccgJSWk6Od5066TfQ0G9iwaSUYTwkDXRuK4IPW/pO4C1d2JCMtSM3Gd
9N2MFHtNdyOEAp7QhnP5WI8Icc7gFle2mw/PSusw8jtFiCwIfhuVk2zreUqYjUrn2IFUes26DAdo
6U/QWEVib2jOyhFS+gOvwrIhBjU9iLSTuBaroHomvA+lLpope5XCO/oU2z06M/DTMIO9dY71wvy6
bxz/B9VAeNRl2YECbMjowJioNwyhzLd7NOQGoH1cTe/kZNkgkFDnS19QSqOTW1rjtA3jUgQvqo/K
c0yZlatEq0I7l9MlstkJ9hQr1cUqXZL+y0+yDsLkPOluNVXF3UJWGt7Nrx2wxvU450GYytlo1r2D
UhsOlY/526E4Y8s2As7YDfqbAxD5DeF8vFEiQSw0sPJdWrrdru9q55ejoN06de9uUt8gQFGl9gxa
2suuUI5As1ejL373ELg/0knkp96whseWcjmS74uVkA2mvwETi5Xz18S3vIc55ZS17qUxvGPEgzYl
OFzTkzdlOzNJp+sUtC6hL1dhcFS8EDdK4BZjHdd2/BNZicSt71rWcxwh9OIOMIvnjAaLzWREXKDB
dHpspzgMREBsDBOd4z20ldU9NXFlPtnE9q8gm8tsNUdp87GQV3sQC/TH1dD44mJ2homMU3YZCOS+
sX6RGrdB8QYiXheYcRIce+ifKz8r5DEDBfadEu39xMOIVoZ5m7vnYDYjJrMlKUMxO1zjlnbI3/i0
DRDBca5ypi+76dqZTvQ9Gv19geMh8iz+J8nU9uBY/XIx7VIek4SaNUhsNA8gZ691F5g/navbhA4/
dj7wm8YvYaT1bRKtPE6Yns/u2A+HxUn030676U7wsW3wT96d1E0/TX8EvSdhm+uQOwSZ6R4n8h6k
rTzC3SnARVT5sztR42fYkDlx3eufMmuIrSwAFHcQ4st95lKsFk5x0Xxatdklm1jL6okrEup3XXZg
jhz/5nM6+yb4J58Xu+UvWHy3XTw073FvzVzxIgbQfio749grkyAZr+FzOXb9NztQ4ZODGoMXY7Ec
IBKgaNMN/oZHXcjuqaqUx/SAtaUkJeC6p8Ckz6xwZH6qLb6IWmMiYZjnHgUxXG9lzoX+vSCr3Tfk
wSZaDxY1whUMNJrk6pNKAGWuKbez6+coqpbbpBixJRxuztifxI3hVnnITSt56myvXttq8ij+bLhq
uFW7aVuL2tdkjK7FMIsjXxZfebqNr8miTYd/fE+iQW1wHk2fXJn9By0BysxT8dPgdi/UvdmLjOja
zoL5IjDNPqejg5WcfMg6S4LnOe3gkWCXYmdEujz0HRGcFRYbcre2KV6ckT9XICQPz1z3oZvzXK9a
oxu3A9dXJjQahcNIi+jQc2z/LZOK3DougWLlOlP75HKg5yaQewZkCM0uN0x0+cAuITdCX0z3QU6y
PTNd/ab0gExP3XfeNQEwfxlF5d4m5AxiNT4BCGVFMXUXmvENLmR5JGCxZ1WN7ngv/x5ZrDaq1fbf
uowg+Hfm3X1oVZ2RrpHdCcQo/DjF2uOIcNKGLN+cmC2Lgh2OLAkKp7LsETci05YK31r9yjy1J3dv
VZuk6as9yVQ/NCXtCgSDfUKwjueym8aY8dK+L36THu8uzA71Jhez/3foyu40GipHC7b8DxNiLPE3
ndMJp8whOOrI4yArM+ZWzqK5wdjUZJ467H47u2ic0Geag9xbe5+1h1GYUGFvHCJqDVcuGgmVs+gY
l37yWOQC2dSkr7rk2SuZ+TiBNb6kcnJ/qnGevlKOrS/NpCGwCnUvJaNYVp9FkBErXJxp+t0o5pe4
A7n0IJFyNFkK7nirIWMxHrQvmcOAZWGjUX1yGQ3T/AKd5xebsY7wtWLbAzZdBuIQVZIuit4xqBQN
iDsmNaah2etjdq4yrg6wr2sXGKYNziSL8vmt8ZXN3CYJtrZds+djy+43kTCraF1FwBJCUiXLRacw
cDii2uooA/x38UQCCCLyLL+pRkrR8kwmfis14a0l/VtHxsoKZu+hLtKEGEfvqJ6PObsYTk4yDLS1
aKc5B9PEj1HKjYEAVlVAw5dr/cqHljmKXarTNBA7utdSGgdE9kKGHrZL/sXIQ0fvUGr/YmZL59LI
QBSnVOl5PxTZlg81E9QbmxdnF+qk9Cry2NoPvVncK3ftZXpHb7Y3rcqMl/h+uwLytGx1TKRx7TIf
3IwUNYRTmpsXH0zQj3Kr+yaWB+RhFA0GLonJaOvhIoBZHhSnpTCt41Q208NsMvEGv4pIXuBhZExj
b3xfWDxZ4IaMbLzBw310IB5xu+4whpct1VllfvCN0tjQs9qFcKCHP1btZcCc2/SBsCHr1zL7oZQm
VsOhttfRwN8tGaGVlaU7893EA/lAR6W6qHa0N1VvUmbWTEMHwMrr3xNdL7d2GMpzpRqfMToEANeO
ikMO+uk7rzF4x7XfnguNrTCCpwCvOR3TUOfj8t0R4NrHViAP7VKNe87ryMSkyb3tP30c/+MN+n8A
HNGl71DF/9obdPrTfuaf/9kU9K8v+T+mIKw/LCVw5SzT55Mk/5MpCLuQD07LZGqKm9uROEf/ZQqy
7H9I07fuiLi7M5Hu4f8wBfn/wGVqcki2sLsF0hbiv8NuhDzxbzY9CfDOs7htmaYLKE78m4eQ6jtj
VMpSG4e7jogqvO+aiu90jZCiz2XG5hkxVToJZ6n22FF6ApWtwmZYBPUlUUb/5o4uZzEqDLN3zCOj
tzbNsjpQ6MesMfCVz3En6cttDNj9CqkaivAgxJieW6+pvt3F06cOsHF71KbQnKxo5h22MXZ3ACRL
ItSmN4J7+hYm6RRmuKTYjO4tlrVHK5M/+IJdwMGczw0cZ8BqZuNEozAUWV1avdSmtGhk9RYzOgGF
bPXRT0zx1iyj/RZJ23/pEmO8VktfJ6th6eB1l2Z8HCxf3JFTCYwBP9fBkQECHBsIMmjIhsklYmC3
GY52GyUk/mDqGEcBYf3ZLEftbZUKUvqnZxzZCBQW2wTXXVmSe0ym6JpI9GKGPgsbLzkS0CddM+bj
VQycqliIXBozbII9+bqulCsZ4uHkRN+JW3OdZgWeaVwAZ1sbabfhotueK+KZ3r5KOsbsEJtwUrhj
Nj+Pi80WECmaDbd9P+X9ukz7LAjHwGAbEWOtvuF3LfVhBvNKb3vHpPrem+S/m2mXXRXU/z3vjPti
+tmwn6NoRvWfg0fQM5An0iBrp03XmdUv7FTQk5asmKKdIK5PiHmCjOAO7fRq1kreVGOKbxMPb7rR
goDPikQJL40f+0uxQqXONwwF7LdGp/rNjxm0bcfchYUFnMzUa9JEzSkrdPnson3hyqFzkCal3jLG
gzv1tD9FRKLDxOcnhF5vDsVGa8d5yqje3ntxk95AKvTVarAy8X3n4xGRol+LCWNgjw9ZPiSngDZh
jkyWIG2UcI6LFlIrLOPBxEsQLQG0NgPwWuOlzI61HO+pJEv8bqTmwl7Qx8DdmQAn8JDCrd0tYzqg
n/NkEOCjbDAyQ5KRy3AX/2lpKGN2XNNhk+7w6qqQOTr1no1fs0ubdav/CoQJN+RbkH1LzZp8Q1Er
SDy232B2siCZbU2qWm/FMMUroitq3KqJP9gKwEJrccyYaw7edt+eG7TwH53SoHbwC3DhZeTpNhQ5
1moB+j3x6ad0+uI5CKio76T2IdVTvWj/U5lqs9d6CR6gYFDnp9tR4skgGXAybTRjLcU+Z9yY7c3O
zF7pSjd3Lvn8jUQdONM8QdsFpMltM9k4PFI1yvEyB2Vv3awWLEc7OrA6OocY7TDqNTPJOju65Fme
4wQmDEGnYUeTcEffeMsnhYuBdzG1z5Wux6o88gOcBAs5unH9RfgekNiA0LlWVBRrLkyRml8hHuDM
auZ5IGHsoNmq7QCtDztaO2TAoosMDFVEBfjTqEvxpfKxqUPqaoihcFUvl2tK++m8tnhkNLnFWpjh
6McTud4ARd0/UN2lFyqr9LxcDMPIXuFMSEJ+Tu/prZ7ceYT6n9ha7vFTscyvIuroDfwgstr6BuSP
aiLOiT9p88/DzMzl0ORJwoOsiXF5Hn/a1f/y6oAjS62bjcKFQJx16HcWrT//s7n/f9GZLQGrlHk0
2+t/vcG//Mk/wTOX/7bH/8dX/sv8a/0D/65wyM7z/WzTAQ/8H+Zf2wGy7NucAe5W3/+0zwf/wLDO
Fuy5ns1JwMe8/i/zrwXZGWwrzl+ODY7p/ff2eb7jv+3zwvMcC5uxtKiqdFwbm/H/lRVQfto5GYbV
zmTcbmXpvugnsp4xn9bAKMY/mT+XhMBAR9ACNK8l49PtkAiH6TAm1KDKaCfEZ2TSam2N3q0TY7+1
qMY69NBAAe+p6QECmbg4fiwP7B3Vtvcj76e1o2q75BOODjnV/VfHcthd4AmQYGqnVLxzOklee+SK
S1PhiMMz0qcRMRXTP6HN+4d0HCGfTbEX5HucIoTJ45Fjgna5KePV+47SpUUs9KlSG4d3gbZDnL2m
r5eXI12Yy6Est1ipto2x4CouELQwDVXZr7KQLrGARoxkA3OULqRbjvlrICHFlTugy8XfteoyTIzA
u+jIT8vdZErvF+HG4SMw/YWZLS1OBwqqoxcu4ICJbVPhpEmbu82Dsz5XZGMSgHkSJ70ShxleieWn
igt4ahIQYcROr+6DNVvDPqW16rsyi+K34VBpghTQdddeTQZT8DKn3jG3PBKwo3PuwZa8JEqa70ZV
EsAUjuQG2QyQB6O43LROHP/4c84LHtMawi+eO9ta8bvrBLNf5bf7iiK0s5mn3E94m8svoWvvAM8V
qY/UpM0viRWTLSqpdsrMrKtdBBH6n5znMKqyOCfgTOtIzKVthyJRlbixWwhb+ACHbjwCHDY3trYp
j4nH5ElTKsEmH2NxmpqlPBeGhyci1cv4CaA0O47sIgT8bzpj/EDr307QC7SJcynDpA3wR3VVqBCM
sHi0Yi+NIn2tu6oPl8loThZ22ic08GJdIBxfCaKgOxaY44x+dK5JQPF0TiPTXujCPPGORgfbuPco
07P6u1mW5cggCGWEFrTLnPFBbatRfjHCmdhhp+6gKjvZF6X/0oAWHoO2IjSsk0dUWHwrQVv/qqlx
38badz9T654RMiHQMZGqtmjtMDza7s00648iYbxvSU5xvE2vXTCQES91X7obGZBTxoi4p9X6sbat
tU68o8D8KZlEqjLnMD4Bh2jYAvZeSbR0bVIXJFc1svMLz4G8dFYhngLliXJvMj095gn8xI7bxYsL
DkqFFfWP/o7/KcUGP93Thmmbz5AYzWbPBuc9mLx86NX0/HLACNJDETg4j4tKuK8lNMEHr/DZptsG
Fggp9YiW0zH9aw6MntqR+f1qnqLui2q7+P5QUsIuS6pysp5mSYiQJudyPifzY0LO9uY2SpCHjHAN
kU6OH+uJ7uRw7uP0afJ9co3jfAcvBGL4uPMkHtLUHY+zWXoPjPnY+0dnWPhOiEX5oK2nAJzk3l8a
h47j2htemGPbv5Amx70Yp/kryNPiZe7tqt3b2Ce/+HynfxMxOLRWA1CCxjbbyacV5RC1mskn2h8l
mGIzt6HkzEShXzlZ4TQMNDMKWOIGGYdAebKrsX5dE5VhVC1ssDGtZz+ronPOrdHY/JIIKI8Jvpci
tEVjbcy2h2yiTR1fqWizbkMbk88b0/7cJ3XxnfER5l2NHPu1q7r+nCvoNRHB/L3vkEKwstx/KMti
SVZ5O5coUE5knkRUW/ugGeMTWnV2tjCMwY/1vLuga1jWCxyuO+9X5MaG51c+SNUXN8xv5pMLIo/2
CsjMybFeRvkrzgvTWWsC0N/jUi1QjzF2SbOmdpkL2lpo/5g1s8cznwHFwcA7tMAHK4UJdGy6jUr9
BNtcnuxhIDyYWdsjLBmeEdbOlGEe7K395FvFDfbyuPZ4cJnkQI5iUAxvdVzK5w7PEKocZDQrDa5D
lsYXBTrjWxFLueDHVVvLxrLUtP1wiqlM29POZH6pBbTIMHgTTByCA0nhyRNKNu+hHYtzBHiEaVym
16xF5YnpCgVzlafHDdHpL6vLq01uGS2g4lK8GUmzFb5+4xpS73j0k4OlBGKmnYRGpoYfyIp/MmAW
G4GTEoHRStdDhV8hByOZGm6z87QHhMRKr7bhooBFwrhZRin38xKXByxPRzNuPbGqxGRysjXmdxrL
QFXgB2tv3PMIP8QQxzata4dLmYPLkdO24LK8JWH7npuzfci57IQ0wH1lxjDmR9u1yWLWhEqwqrpU
fJqYw7d95A5P1uBml4mO+i3Bg/6hte2T9L3feqr3lC4xXuuYz3VTpwEGTtaDX9lnyyWyTJrXh6Ig
gBxhhAlAZ1ZSZyfbKX0oezWDx9UEbXyHt4C/1ZVb7BonO7Yq0tk68uaGqWaCwhBaPtI5WLSxJoia
fxZzXhxFLvSHk9cdJrhkTi84YmjRSphUr0vHaJ4aOqd2SzP6NGgTs1jLYdKnIsG2sbWLlu7UGec4
6q/zp+jh+G3Y4j2QQ3WfcJgxYu7JeLOpUa479oHU7qgenW2E5fWSc+MrqTO6ShIBHOgTAtI0vobY
JCnGDfQMusu+VBXCxIzUwFI1Zy8OmrizjoJ+rNZWNE6vUZT8EDwfPxi0AlTpL17i663qmuyTBbF5
oiQV52rvFfSATTg5Sud+ls9i+waEYPmgHgMGmsynY+bAR70X6JFXGgnCQ80eL9gJva/OVtHvmB+8
iq1+2kBqEquiMOS2der2VyWHch9zTc4BwB4F9c+PQObjVwW68s7B8f5SBAJRaXDrrQ05qUS0KIt0
n6Mq74Ge3Vk8dVsDwCwJ65JhLh/ZA8adzhXoJM9fjjYHstd0keo4kbg+Nhg+Q6qfzENdeD0bkqTl
bwC8tvbt1D8kLa8VppLl2248c+/T8RkC+o22HTXacVhYjNoTb4cXgsZpMvWkA0Lpjc26dtrQ7jzy
7GME1rNsNGREvdFj+8dxueF6FR9FNYkNE5VqxUIcFj0UPFcYobDnm+E0zhGFyj2oevb2DFOqT4/1
bN25HCm8rmjTDdfDLc6Nih3GRitoff8mFsM6x1EzbouaytdyBKqQzpG9rfOyDocIG1Lq2A/xoE+2
Pf+1rA7y08A2BRiJ0/6PzrsNOhXxF5uj1kOAc25LKro59fRX7YwFcEY3sqtw+R5e+qjtf82upl4h
pZ1utKYH2qyYoWKgCBEfsjAC+rXqMJlvcLSI1ezWwdZhKUvWzIkZ3A7DOS3k8tWiDmyizMy2bhKX
Z5QU543X26cpldGwWtc15ZN1otwNVcbGHgRzcpSRlLd6YC+PMAueKBRWV9uT+cOMxeNmEtI7F/Aq
zkOCw3SV1MqDUVgEjKfpuz1zDylukEe8P4s5IeAw9L46k21BxcOoqdvc+xMkUXAReAaImSTps9M2
zcmjvGbEU1CmH4ZV9BeWzfzQLDDQu0Z+xxpOqERIDGM30w9U1fsfrtv3mzIr8fNA0SNNNjtZfann
Brh6mzqkQ4oYUlLi1TOrR38fI04lTX8VXeWtxGbuyfkpyrJugVpP+Xwqo7CkP/3oTNz8R1rnr1OR
vFdCRo9mVKuP0fSbPfykFCSis3NazuAzM9qtTIW1KVrgrTMjrIdWZux0dRRvas5Nm9JkcdaBSDG3
Ke/N5CrDy+xjacDODchrYahIsexvcDjqaMU0xzL/cM8+1blMNmKtgUVTgXSLbYLwBdLXxq6X6Tua
c7UWKfte5Nv8ZHw72w5PyHmSEhOsbH6JfojffOBeGBLQHTQHoraN6ZzHkR709cEqcmw21fDIjgom
3+HIG5oetgNFts00SRlwzQJmV4/faTrqF0Wx4xGNdOZjPQwHx7OsowTvtoHVYQLqVtF+ZCQREFZa
1U2eHWT+Mw5m8BNjXjhkdy4eR1iwZmPefs9GMp9yau67lQsfZWuPFRXiBcXZPiPubYkzblMjCl8p
KJx3S6LaRxQW8o6iqr9MPjC4s63hkNlUhqc2GCeuPhwnmsDY93LuL0DUkvUUpzNTYCRO5KX8U1nB
wh+lzjdFuSTfXMbsw+AxrcwiAyZ60FMSbyx4xIZF0t5SOtYH8Ujjd0EPxBavQL33phkDCNDgOsDw
X3Dp6X3rsfXpM48GAo6+qgq8NoHaYsJEHAzGSmCBZVy1rjveL08G6n8Td2bNbSPblv5FeQIJIDG8
kgRHkRI1WfILQrZkzENiBn59f7x9uqPKp25V3JfuF0e4XBJJEMjMvfda33qboU9xZ43wxwU2sRJC
mCXQBTG1wa7JZPhG10T++cvnwD90/t1EvsA6rMlMH0rotIm55nhqHBGRGFB6ii9aufsx8p+93uPX
yCEhNRamc5aX8x4VI/ZSu9GHwaqwQvEp37VRDR/LIJvAd0MHko/p0/6twp+CMxOS8L7s10OjMJbj
nAhAyrlna8nrO6ezi3fXC3vORkodwEHoXW8JaB0+bUrQ32ZigB1TU7OCPz3d6bJkidcJ9n3TiuGF
jdgkOerDvQ6b1PtJLIZj09FSUO7y0P3uO8JxVwLLxGvNESmgbeVfunHJ3xhzJbsZCtIeItT04ZQY
NZlLlvIBuRR6Z7tcrhG57MdMLdNVtO0IUGvMoC0x/AjCzF0OC52KR7/wm48IocjOacb6rWZ/Y4lv
rYM720VA4EJz9jrT6NFW1E7QA7BBZqqra6c6B5FjNRDnvUTDMwTS0V21g92eHVU5wdjPTLLB5Xvv
OaD6nduav5Ks9I82kg8gQ3ixHjx42uBBreSVhaNbI8bv4w3U1P48uYt5bELT3Ip5Lt56lXFyXdz8
oeRxX8VdXl3CZlAX2o5IKJcWsGcVQ69Z2YXZPmRuV99zuAYka6FNviWdsNRoNlHMohrQURKr/FA7
ZEoBUWie0pozLBTnrNiTEWBvfKqYO2IDkC7kyD0cAwpdZQFbpJcfvdop/rGwCWk9+suQHsC9myvV
jsux4Hh21MxA3gbwUc8+p9Brb47sJktqvRbmlBx9uuU/IrdnLwL5e1GLqq1VVhvRXWOn8ly2KMVB
n4OQTXN1MOph0iuUhWa1xlOuPgZbEFboZ5bxgV8qw8PiLtM3Oxtcei2p39J46GxDB0Ty9icyoREo
Vx7Vrkbhup3drD6zj9fvjEvq18HVKlhqm8LA69oVBunq3iKY58VxM/foNQoddj8ozAJmcVF65oiV
glvXKzdNhjfpds5GGSmTU3syd00rF3dljpnzvshQcGhAxdlhETuJjElUkaQwR0RPGiIC8vQhbR1g
obP3UY90QOJUoCCaEgS91OB8Drk26U4PeLmc0GN1zZg7YZO89R5kwbckO5/UVpEXwOMNfayyth+C
EqHVD2FTX0w4kCPiXBwAwa7QRUfPqgZ4nmBT41NzvBXO9JSEaX7GlcWbNfHZqsnG0f7/drh7myL/
rKgR/x3o9++p8v/P4D0E8njoQA38943dXZ9+NB/dH0e3//en/j28tf9lu3/s6fL7/ndT1/H+JX0A
HoYpTZu+vM3c9P8E79n/ciVNZcQ+5g3M4vBD/27qmsa/pKTXb0gbWo8kB+x/Mry9jWb/yFUweAXP
ZxYM9YRhsPsb/Mc3k8FpEa0GnYqB5y4LYvTYRM3+h4vyFwQHetC/vQyOc5ARWNkck8/128u0uH7o
G5dO4PD8fh8M4d1iSiJ6hV027CICmnd//4IS9sZ/vKJz65gbBvALZq38+x+4Nj7tOa/PgOK6cvLh
5mJji9F8xwVbrmtRFDhF8uT14L+60HvswVaQY81PfS9n3KmG9tNj68TWUeJqCSC5p0d/zsczOd7L
nZxYXP7h/f7eWzf822CfubxSPtom97cZeuoStzJOJSiDsCo4OIGhaV3Jn8gm/U0qQm+FG4ywjcSr
PpvKWD7p6o2vnEBrugc3H07fZy9lNXXodpbq19+/PfM/7xPenkUJKGkmcE9yP/7xchIaTDuHDTvo
CcE+J4vEs5yoytq47Rif5nRiyaNpV53yzoIbKhCMdZE5Bbxnb49H1v1mzrTEkeuepKzR44rrBCIW
uizCJ/rPesjeLUhAOzzUzUNemdWPPpIcVWddP/79Z7FvY4o/3/NwAlBZeYzC6AXckjD/+Fm8ZCFb
u7dUUPd5fDerxluP08QpeqppRI1N0tPiZ5wSiKodP9nr6VjmRcnRryw6tZ8cX1z7aereHXvgoIXr
/a7IhHqbZLZtW3V2m+QW4E07wc1FdF9a/XDoqpjk0yh9rxVIzCRUbz4CrgvBA+uyxIk+Jzi0Zzw8
YI2diyxKtJ8iXOob9oFa3ExkuMXq5KCldBGWzR4B4ASkn1E2xZ+e00QQ6XurPilHI1aj5xjBZzWN
E0pN9hT4Rj42bkyqb39/Lf/rwf3tWroG+jvLlTSBHSZMf7qWtVu0mWpnFcjQKqANZeW2SkfjDoDN
zrXkL+RQ032PRLhdFxMQjD0V4PjL0XnzA6Ndd9bRCPrS1KZ7GCuorWxho4Pm2ZVrEVr1QxVX7X4Y
2mgiSKiYP31iJJ4wmVQnPwcrIK0suqsXJ4qAj+GvmCNjuvOyPt12vWP8w43zH8glnlGezNuWAGlH
8Sj89mE9ziju7SHgZDBcouIWH8CltQ81y/qDmB1/qyWW7RBy9LXRXnSyaoVOgvFcvYdg5b0oTrvk
RkTGz7//Hv5iffUAkXlIeWDzeM5tdfnDakfqTjHkalTY3U21ZnjwKx7mg83sZ8PI4Pj3L/YXa4FH
NqPpG4blSZb0P79Yxf4wenOnAqpO982gdrg9xen937/KXyyIf3qV355SRi6J01qNCjIrSb5AolV3
lCZAq23yYLd//1p/sSKgrmLueuPfMdj87fJxS6Z1TV8kKEGknSxRLJ+Adpw7u7HQmE/MKVek3/kV
6GajfCAyqtn8/Rv4i0uKTsv2aaQqhVjs90sqRkVKgVJB3rnDqxyBd0/h4v7DLmz+zm9SHoMaQylw
5aZpMMf98zdnsuTepnpOQN37WGPvWRfGvOOIe50IVPaT+6m01tY0fk6kufVxLu4XmYcr9hNvk1oE
fvh9T/xIbFdXp63HnRt1sOUnxNQ1x/MZHVOd0BU1emD/nJRxmDJw29Dk/0Jk/w9QqN/vD+V5dBnZ
K6FS3WblzN//eMsv9pLpHqF8oNl2MPFjmHTw3G+AlIp/+Hb+47L5BnszzHuHA4xU3m+3R7zgEXJ7
4WPGcRjWzJnYu8bCLKEp863Vhv2eS+3/w4tyFPz9qXYMuCIuxyVWVldxPPvzRxzNTpkFIJxgyMdn
Zr5VYEVkm/rhNL5ZuiKyXE7to4CEAkX0HVBpunUxuH7QNsanacQnzj4rVMMu3lHnoa1RwbK46V3S
QCDpEAe3YfIemu17NQDkMBg1ex5DILKXzJXOkTu543RQ2WCvGuaxD+BO67UuqPeTGduDUDlARmM2
trAQ1NmroF+jL7urTZFv3QlYio+2eGXVxZX0Mh/RcUSNajxSmq1Z9A+Z7T3darf7xfmw6+WzNJb2
vlwKQn2Uit5aconuhU7NLURWnMcw7FZkSBbYDdx0lyeI7Ph7nr7PtGY3EwmF8dqf2uHTzPEH2rGN
ZK4ggO19Skxsl0bxXNc4WTxQ9tUqSSPJ1F81ATQBzHYiKr6jl2HWTyJdswV/i+gv8ev9lKtiDRuo
uNg6zR7k5IQ9VZvuAkAl7Lmo4L9aK/POBcK7bSIjCdIxozPtS4jny+hgwwjZpb4T2jAGCcE0JT60
NWCLJ4WdeYO9iHFqiRSB3C9NUwyGkn0N40Gv3WQmu80ISD9CmFcuOzO39qHz3A+Q/BF3dbPp/5pH
6y6jO6eH/os8CvWamFW2hZVSBL43fCtifWwLcs3avhtwG2n5qtPUug5ZoxCT1xWNlDnH5uQvPnAv
fS385XViGH0eMjQPXY3UKcZzn+PoQn4PDW24J+Jz2sklVw/d4EERbvna+sYz6OXE0S+PlhVQ3LDd
G8jRri15wW8lGUbfxsTalWmHcS5JJ++hqor6imgfsfwUgdom0ZF+aJsO80seLd3VCuf+paY+XmvR
zM8iDusd9NXsImod7ZepEY8ZB60L9M94nSJN3UhdkKe7OPUF7GIfZJBLA3Ba8kOESAsqp1IXs6n1
Jubb26M07K5xn/9oBqi96e0TjoYSO+JAHnCs7pbqmU73jZo43+twPocMuCGipuOhkln1M8S49EwH
TKLV6iHs9OAHPJ3Jo4ASvek6jbbAp1tToTm5unqML5mulo1RzxKYfFP+8ox22orBno9F3YAhV95X
rNV7aRj4QImiwUbbmMn0DRROtbejUdBFwh4VW5O16tt4OXhjSlhWE31r6vZbTdxKyohENj9ycNWv
kZc5+8LXRDOAjg9q4szWVD4t1LhGbRofEUTa1KQSCi/C58mbkoaDc7gpxRnuAd4BGfI/Z+UjK+y0
p5s0HgA8wYZxymhnujdW1PBlqeiUVxiZW5AL5YpON6NUDFE7Eyf00zD5XjAwR9wSr+PdWP44Zyrh
PVn9/KP1VPWYN6Nzr3pWBZ7BZUNLYjjkhXpYasO69nHBd2L2FdoZuE1HG20LDxXzutgfiWrzrfVk
VvWdm5IPmll0P6IZQjzRTPFLh+qE/0b+iGFoPmCl2/WMRww5f8uQkaCtFYKh9KOl1Xk3RGq8JEuY
X9VcjcQViCIQROhs4jzdKTt51zEgr8hJ0d4K/MqdQeDO4A+bSRTpBWaaRUjHZP60xrTHmqXTjfZj
Y5OAnXowRUHCbUhpB9q2sF+tUDNHsyIwF2TNbqSb3QPMA+sWzieJ6Ki32sOSpc8hIR184jq7WsYk
1/mcmJ/GMuWP9ZBy0vfGxd6lrYkfpFkIv5oa575B9Lsp63jZ68l6kqQhgPAxV30fDjhO+l251H3g
NyZgOX2KsSuByfrBvOfmjhtszGcOjS1hPFUZjf94Gs6lGsK7sUe4sFL09N+6pZCbWhMA9T2iPBsI
ei1IaWMQS3W9NKdOEpSAWpiYpyy69Ava284c5ToercVcu9UEHhzt9Lony0/QQyxt8Go2qXVjiK/C
ItcepfWpssTwIGSit+AJSOQlbueoHAzutqOvEM/Ad2BY/UjspvpYGiPbydBNXsPSs4NushM6jY31
xrtGI9Bn6lISRbPzJ2/ZxU4dAwAS6VF7dHhdh52zMWfNc1H7+yHpiSHtUspBPJCbNiLRsLYU8OhZ
YStqMuNMciMAQs3iTcrRtZG/spg+AkauuX32OpeUPRnXCJvz+RHam3eqGY+e3MVNTwZZZYGdd+G3
cvHnNyameErMXD5Okda7UtnshbGZ7uwGAxY63oVAVARGg4aoQ4qpcUhiv2LwG7HdxvODQbTIZsrg
xtDZ6QKDT3s3RrM64XFWd6HVqwCbmvFs4r68ItCy8AON3p3tR31g+Gl0Hsh2CQwkRFD40s+60Olz
rApahmh899yige7bH16hQGWD9iFWtLmtLn4cy2yFjIBGquvMhxZ2iyWaY93fqxtZvHXK+zFPmD7X
k9etZe2EgcDUdLa0Uz12S6I+VaKLN/cGqhXCfp1DW9HJRllbaob5ahzoVmN+xzZq+8gIbafATkjC
M9DJZmu7wtogCEJYIhr9JNRARM605P6wdWsVHzSTOXqqpBTkErjBYhfc+GHXiHozlY59QDy2HErP
+ObZnfvg8fPIooS4wnDJz0uiP53WRGiTNchnCTYpn8qmvwjUxW4LJNBrjlG2RA8q853NNA9Q5yEj
MFThOkduQtq3NYN9cO1zG9XBQDQcB7VwC0J9JCFDzmTXCunfj9Lv77uujV4oMbGx4x+VWx8FCb3s
dmgutuWHr27jysei6IxbJkF9RIo3nadpaj9blRgFvtY4fh5L3owwbPVlTYZPSmFcHrME/qcZ83My
9MSmgY0hVwmHvi2AFQva5mTNHwQGu3fF0JInGFkVSj/fLR/r0i0P6OiGr3ycMC2klqhPUGOGXUts
ETwZmcgXQUQR9q7M9wDtsF8PtH9g9jt4Wu2xttkqex0+27Xs+fIxtTOeLqLdrC2moW2oHUZqMYpK
TFn5a6X8Ca7Gkkebps07XP0MSsIAAHyMULtK/QvIhGFrZmLcgFy1JxYbod4jzRbk1mH+junchdQp
UFJn5ICuxrHwzz5Zibx5A8Qj5xmyzoZaaLJyEG3eT9ktk7lr2vq+nmPEowOsJGf5Ybvptx7S3TaO
Z6YwRLru+34BiWTyQC+FvoX84PHGuHKTjCCKuG03hkliGqP6Rd9aRGCgC0dvarII70yrkVti8OKt
SybgEfVFCS69CKfDEI/bsLA2aYHFjN0V6RLYSlI/5jI9iSmpX8kNPPXh52K7j95oPjfe8CERkntz
9F1l7Vts2gS/RqK46sHw9q1RQoYgX/4uH7ys2+RVAhrVkOD2K/JZL2TqNggmyIYvctFLWlEm5yRP
lWdfNd0T2TbZRlaexQC2NvtLViZgsQgqVeBVSohYvIX+QYcquub+9BTiu94TYli+T4uBWKEZDWtP
a2n8QuPQPaE30jsmeyIo69rdE1wV4bFn2/tEzgc3rZAhWayk0YSlVe94kj0M7E119cBZ7QdDRu9l
BQOvkWRYO1VUTuvIP1plVl+djIYLNsNEowtNamJiy/EVzxybjgf2H4pNhI/XqQhymvDUAF0JneQX
P1MGeVMsNQ4aAbKDY0xswxrDoZwRgxlw/m9J5vUJHrJptQaN6Rd3gx0LmCpO5W6xhLpE1Bgo0UgC
sdCVmYLgAN97IriBgsGlafgSQyp9p2A3TrQoql2DeJuHu/fJmxSYdcPlKtOReXBRfnY0HbeT1Rkf
PMNmMFtjuM96b3kQgwGaiFgLjsF9Ux0QS4mzERO0vjKmJjvnyC/uGw4fmH0yvD4yr3Y3GfEmsWx5
KiIPJ6VxNIsWpmcfJTjudfyE06R6WpQl0OR185UJLGKRwneuAKeN78wD/UeI+ubZdEHZ8Cujn7el
8HsRVfFTPxaaBDSZyVOTMo4mfdh/cZeue3YzP/M3fZf8ZGHJL/EwTi+jMScpRIKs2krYTd/HudR8
hjjbxxhzCMBOootcIo1icaqOVYoSoI767pJIworAvEXfkroP70EBlDxA9F5GVNanggPbt8JP4ME1
oGV2nHnqGgiJLQKvwE6jBxeOHl2G5J7O4PAKTW7+xFVRHCsMIf4KhEh7xcvu0k5Zmnlfcl47oQFx
vkapTYaMaZlcLW7Vq/bSuYS3MZrmQbnUxzHEVrnPGpqyq5KE6q1OvXLPuDX91qINetepbTBoNBgc
rCq9GP6Gw3n60kvlb0xvloFdCHKr3aKgsPGiwrjT8RBfBNbZQKIpJycDDKVgRkcZGDcPbJMpAq0l
R4xX6Ajygze/AmQuXwSZ72sPzNMGlAoAVl12l8y9AUuw9q+8Iev3NR9BrGqvLn/xV9tZj3bO0TKb
PXcEkUL6J7WVpx5FDOLVbVJOIcB3YbNgBn+RnaRhajDFX/HPGo9oOAXDMpj3kggVynsOPAyexfCh
4pDgWIWPFVGpIge4KuGRPFpx3O1ybXHYFcvc61NlE+LSRPMjH5QWet1MiLax++3Y1Ofd5DrFPrOE
wXQ4DNtfpAnmlNZ0DkvUiAWxbxQGajz5M1o4sFPSnTf5TQC/4SQtxD32hs47ydkh82hS6q0vpmJf
L4BH8sXy94lI9LwqhgomESf8tOJpVzU4i6oY7zs9YsxBbNNPmNkSP96S9lVv4MRwuHUXrw7mtpnN
O9p7jE6dRDGo8qp0QUWgxWHSqiIj1G9f8NKn6/GGlBi1S50mvOnXUvs40Ki9x+NC/uIPJWukOHXO
FokqgOXfGAfrDqHG8s0EwvELGCZcikWJTz66fu/DsVUwgOruyFbIMsB3YyMeJoCvuSgvmi9thaQd
Q/+Sbwc1GHd0wyLWc7JyyNW0SPXWYVXfJ4NvXCp4At8pLSkX3VF7Pwh2zOius3B/0/hLCUm2xlPa
xR6ZkgQtweIanRpMoQ97qbbDN0ZKPFdDnlDoJdXTLWfoDm1ylG2FZ/3ICZ0FUYA3uiM9vKafuUuH
5ZjhmeBi0wJblYuIoNG6+fPUT93WMuroVAMJuc8UKCWUdH3jrvoBduXMBPsAXdwMapE0XVAgsf5m
pc6wT9m+XqOMwFdWeLRufBLZHpslzT4qjku32Ptuz6MaQSLp5UPdpgIbIMFPHnm+gnF8N6E5W0/T
HLYb5ZJeZBPud06lpDCgGv5hKu0R8rREJFVOX60cvppWEK1CjjMRMvJgobLfeJVlb+2RJbRSZf/a
1FF0hGnj36V2lHwNbgE0ZKmS+UJni52h4GCNo8F00Y7gSgnqBjHyMtXii7AoQNbM1n5BnBjbn7eX
gCyABNR/nGI7VoFjDgCQliGhtHcYZ4ITgm2Nvnqw1vZN3VfNISX48qoawtTX2TL+SCCXElPhTd39
FLoPQ9ypc8carPhY4SbpJoRvCCf609Dp5dCMNl5LPb8b/BZnZQpwChQm2Q5EBX4TlgiSvuflu9fT
h4t2kFDf3cYb7w3tWm8gp/jkbMOoD6E0MOOCJ1kW1iu70xqFhl5ADAABEBI/A2cZfKp55m20XM4Q
TfWJwIABQLWuP+d8ot1W9Ai9ampdMaXkBuixI0WtRCxVeWQKekLiIuFIG6FN9k0MuRNbcpeZE5Kd
Rewqo803ReNU7SrqzZrkGFFu8Zy4h8o1I2PFSief8Lk7P2ll3HyqqUckB7DkwyLbxyJs4gdp0hf0
RUuQFHyCcwgStUu5D8kbh8fpeWho+MZRmi+mzdDVQ+nTx/6pGvy3UVjua7w4zjGbm3qdeYukNVtM
G8XeewS8ap29oSeOi+PK2yCh3BWqKNYcDurAnIZxnQygp23fH8/TCAOVXoKYA2yITOtK6qsrvDbu
umEcTqBbk59Rs7AB54hLLcUYDQpR+VI4KnuOYBNhWYncV+b1FSVREqJ6tHviZL0IgFXupNDL7LLz
Xr1bDI5V5+YTAdU+9WyCata+6f8W0Cm1RQZrM95w2zobyjWOZPT59i2YeeQsieejIhQmQWu7RtsS
QqrB7MJxax6+s4yi5Xdw4vg4u0aO9tD8uwNTaG+58YrrYtsmbv/YSc/Y5xzvyeGhPXJzo5iwnnw1
imuSz+lFV1UIfKlAgl81kJNH5dxNNlm7YwbEzdNLCqqupQZqoQE3YVo/JFP1AJrCepFTuCob83tS
OR9+7kMKQiGf4EAbdOBAwieIqHHW3ZyfHSgg+yiKjUcondYadZ93JO8eUUybPZdAgVYSE+8vLU35
5Da2/QzjMjzAPV0CoYenELUPi7QzPo6IFPd9rrLLxE5a9kUZtBDOHhEdRU/Y3Ipd2zXO1izoMtPQ
tc5jaZOKDSQWAjI2J4Yh773XGOAVc7GbIDQQ8eDuepIkNmnc/eqoVj5n8Ps4aKZ1P2NnnxRyI/T4
qwxM1MEwK+ihMBN3bkz8Acq5DgQg3QFyvJf4uev7LQD7wNIl3zGzrsCY2582/tZTNKIp8vquIeOb
fM+a1FhC+Og/7Wzs+dsK4afGE216ganutbp5ZrusJolMEb0ARw97e8douQ4MnZ+8BrVILQI/LS8D
ccvvhY/K2RPRDruaPMwlxrDOy50rhIt11cL/Xbq9qKnvKrwsp0aTbsWBl9lBsavi9FoJLBkxdpJb
zFyMugonNEaR+UQD7CWD0hfVhrtm8LA2E2xICK3rAxrcUwSpiVpiyj+tLkzWmdV8X5boTkqqilWU
VIQ3SDMqVsz2TbYDoba1ogRaVHJwzbkl1srXmBq6kkkWRw+XKDJ42+Q/YOPHnIwWTpUB7pOUJiXl
hJL+9B1rm3MqBiKGrcqhaO+nbcSauzHcKBs2eaJ+VEVpP5FmQC5sFJtItxGWOVswtR2O57m26bVU
8VGJhMAJAgnUezNIEX2E/Acez6YmIxUixLNluwm1Fipd1IVDkPHc1mtq6WDB6uRvGVDQymiS+YqC
NXzSNU7ypPcrf+eibYUIsYk8bR61MhMGmMM4znvEc8lHiMR7TeXLLdUkskqfBdmKjBylFfsfURKy
EEtluWtDYwQ7OQn1CUwaR8Lr9tPs6keusg6Ms1MycHvmIwxo07tcDct6yaZpTcQzPVEHyTUgkZV2
4ITd1lPfwXfZJI/pOGRPfUesxpp1gyC5lJRaaM8l0AEncdx37BX9LVVFfWaQVfFz+D0Wf59zc0td
tzarKd8uS4eRQM+SUATFdp+Tc8RYJxqoFsMadYknmjcaxQ1kJdgKeNPco+soevjA7pCOE7275BcI
OCTA1PreIh6FROGPGHM3b3S8J8hhFVVI10V0atNOPNnyFjZjR2V0VRxIztxxMTkyqaYiBsnVRhD6
Z/mJkhDc22zW+xyyKNOlWeMSR0tb+N+HaHhUenqDSzF1RPhyzEiJ/jhMZMREGCAwvzfVhZQ4f+00
3OgICWcckuZNZCP7R/bukh0yo0uW5nURUAZQqXbCxsGfL0PxtQwqXze21SI0jkkria1V54bUTPaA
SwYdCzG4fjsSP1p2LxHAGDi9Fk3qXOlLioDByLNzawmCeidXbqQX06RoqzB8o14owPZKV2/czFoO
Q2V13xOZtsW6cebptHQtrAYMNSkH34SxsCaPlcCFiCUvJkwMSE4a+fvZkP3GoNQxWX+K6mLkpXrS
I0HZRH+XYAoEwxGVvreRuGUMsuLSW53OSaVwfITT8ja7VG3FmlEWnQ2Hm+UeH8vbOErrGqHExJfc
WfN3Quiyfc/p+AwMz3mb9SJpfjHW40i0KLSls2+cJxAcqDtdLgN6MEFOdBuF9xatoZ/UplQhQLcv
Cax/GhVcP66kiF0ZhErmL5RwQCHhlKP4XY+FxBXqC+YF7ZC9FB3pun09koQwvnZ4WbiC0QsD5F0t
PXefM0sK+oW0G2OeAb+pRtHjTgUMAEaKrCvJS1fBPbW9mspk4EZb5Rggf5VLcqk1aAA7mXeu2ZA8
hgENxTJbNo389QLW4IQXMIhN0oNalDb9yjbraOvPhUmNjxrG2dgq+YGnVtWIGutxX1B/vhmlT2/V
sfVBpab+xAsMCXQyuUHGhIDmVaH94SlXkkAhLbuMsBxEsf6yuHdu7BUv5uS0za6nWeevDTtaeF+u
Xg2lE10hsV06F2tXO9TJkckJIwezyPdT4+cw64weg5NdjMvjQgbCHuHZ2G5MEkf2XmYQFFTCH+K0
kqZvyPOTn4tsJPFr0nxyapganAvr5KQWmyVMucNDlzE2G8yQQq4yxSlPzJqSSVf2oTHBrKyBW2YX
goKM4zCDNmOEVhOQE8fT3IKPAvPLUcy0N2PHJV8Ls3/NWtySnrd4QeIMzW70ZMqxzjw4Li4XIBlq
R+TJgszc6cwzFVy1ihumisMGSfS1rD/bNBFfFdbrdeP24i67nXjHxUwe0etVFwv7LtyWHHHwsjj4
tlPrwacd9GpDR8W5JRRUmqWk3lPdTaFurlVWTWs7TVm3SjO7Q+dESIs7cHbGk3RixZ3WmFK9bc8q
TcZNxty/It1klelQfstpNwCCdvtNnfnxpkwsh5AavJGZrNRPCEEuIeFLdaPVpKSd9OiEUevfsuPj
ftzQQ7I2BpkiUIxF99YgKH+S3J/XuJbcShE27tFeqkeFVGtVMYdas/O0YHY6RYNqsA8GoTl0U7I5
2eBTA4oHimQH0Lv7pkPWusqwGOiPJco2EqghXq0K0cfkIpSSyVLkknfiVvFPGx3tO5bG5B5jniYF
JCMdF6HiqkpBpnlEHaxNI3K4Ujmm+9KaT7Hw2HKiauDbwXvgfYhRvJfe/BUNrnVWvvXADUW3nm7S
usi79CHGetRv+rS5VQ6AYqaLvzC63tVUvf2uYvGM13HTDntua83x0aJlOhYebk8spy+uNlrMgEYy
GJvKh0m2FlxZJAOLf1cOMtwrt2h+mhHRQPTcQ9fq7rUoCIo0JjgymRgasqxuzvgYeME1oln0xN2V
fMvKWr6NJnQZx22jIBIq2oZVuNw7ZYXr2O2pL7GtMnbOpfGG6rJ7yRaTxpRX4I1LF3kz25nYBT0n
+vKjxdugD8+INl3mJ01Y2x3hvsWW3SIPHLdpj+WETWy1GIPJ+EX+V5Xcryer1CeRUn2ZUZ4f1RzJ
g+h8tPTsIXCAc2/etvawXGi0kNgF1OkjiyLn1Wo5aJcUSftWxC19WHIbpoQcFNk5QW5O/afwtQmg
wQzlyjVHIsRimdyBxp4euCNzjtR28145Q/qTGE166XG0PLmuOYyY3nqaOjPjYxQMG7rGK/SN/JnR
JXmeyUCCCeNCLVwbQ9c+yaloL3ZWadzqXjkcO9Lf0C6JsQ+w5SR7ncRM0PH0P8wWPlZqiAJ7tIzz
oHY6NCoSW5Prp+5zOODzi+uKgwi+gGOTAwCyfB69OmoZYnpL/hI3BRISnL5MQauzqMSLW4ovC2nn
c1FjVq16O9yKakpup9pqWNsJ+d6iGe5ncime8Z8Nj4K4JUJNriOt1q2J6e0tq5z2QUlrehPkigUp
QpSTVSXeunfD/o1l5c2BZH+exe18MBbZxcps81TmrbHLI3KSIvKksNkO2ecwhO1Wj6axboohoVQx
WB0QWO2pDRN8ILXZEYPn2uqQu63eDZgI34tIN3is58X8WViC81h7iz/KOSefIANGG+Ji6MviD/5f
7J1Hj+VImmX/SqPWwwSlkQS6evG0dC3CY0O4iDBqYUb96/swBTqzZlCNAmYWDQxym+ER/txp/Ox+
95670cKfgbt2NlUKizWi7AKOJkD+RS3QfUS7V47fnQhDwLkVlvUNKAeE9IB/FZCCpLDuEVuTMzRt
B4J3m/JVCTNXtZkdZZc7d7VPZLyAbbaBMU+nlYWkkZY/oQHuxMg7I4+oV2aMhsUxOW6zilJY5tEC
gG0EqrEI5FsQx1+4lH4EqK1rOrJ2SWTtRh+LWqMFBV0NbdsigzwmjH0J6mBVkNuss8ndxEUPwlde
Br96GTuOnXH2N2POYsiwJpO9cbzlkV13lrvpE9865v3SN24dcAwRiO/jwwRJde0NCQ4EtkJUBI0s
sgKqbOtCmwCXjMNMyCN33AMdshe3Qf2eoL88IHW5pLlGgpytxI9czwmXya5Lv/tEKnYG/QFXAJLZ
Iylc8eSV3BirOUEKLypr/7/mpYhGsbrfkuKX70Ycu1euwOYOgkK2L3Win3/1M/7fJv39D+r3dC3M
tX8ydS65lH/7DRB08178+Pvfru8xSRAdt+ovkJ/f/9zvgB/zFzoX8M2C40PJo8vyjyyIb/8CpMYy
TeyFeAxB0P1XFsT+hdnDFCB8bCf0XcEf+i/AD+A/CD/iV26QFfxLWRDL9BYb/5/t3MINXBcrN6OC
IGDyj4XGNsbysbUNyrfos+gPKOHJBsakaMHiEjHIWg7VlkCkQ6tDPy8bjh5yryVN6xwavkF02k9J
X8Nrrr4VE0rXDbys5f8oNQ6ZRpCoS2bn6I9sLjEVRiMFLkDpIBkY3GnuPZUkrwZzqnxklT9U9xSi
0MDC+6LN1qjYxLtVKSIbNO6ggJ3GNSHidhbcEkWPmXEVFggvq5AeLN4PFGYgK3qlvKOrw/pppZUL
813YWMqyLjw2WWM82BkIfcKk3J82YGFd7DmJ1WS3g6qHCzpHQR43NzXfgBpOLX1PwUZ5VR/dRMXE
3ZxNqZk9QFf9hhJOMzq7AVCkjU8Gbz1EArhPEgMdwa7mpheuERbJrkDH7D0ymrQ2VU/qnMIk6gTB
BhVip1TLOmWy2Y3jkUwToNzsJLYygUoiGvggrE8mucNc0+cHzFtDdlJj3XFxlpq0u/AXWWfSYc57
GfDKvd1aGW5D0+2wa3rxpk0DuRogw7L8xFBtqSC+Hy3JDsAyPtkLU8GhQSZ3mywsUKbDQberqhOk
/9w8eeWriZ3spbqLPCOojl5eDyQSae4IdgLX3AM+p1leSxlx1RR554YregfxNAF1M8YdaVh4xmBn
vfmKCQPeofTZf8ExYI4/kDhNX3nVDN2+q2WEW1ERtyVWj2NgwzbauyvH0UJDBapaXgKzpbCiD7Gx
rij0sQ5eG7rFWk9JFh5NIIn1GQRIgmgniF9s2RqXB5vtRruxHNxLW0myv920vTNNK+3QP7ibsqzP
jyZy6rSNC5p5t7GPKYorfz1CeIwN0FGj437ga2meAb+yJ5JKfVU6skYWsJSZr8wimigwUpASEYqq
kDuB2R0lbWly1dDWrNYEn4g7GCiJp6UY9KMOrW48MFtD+Y1Hqbk/hDY/sQme/MkZWmLtSa2yS8vU
fa8S/86nK+VZ644QXxuxm5KdFZ+CYfBNXINF/RqUqfXA+Ky/YzUS59DLDn1ltygv/NX2I8tHVBb2
KK39lCjyRCvLZCZadzgTH4kNz19FXMzX3jPVsM5hxVq3ipmERp8qs4etjYus5w0liyvdNFx4aNkF
DE8xfPHWGnNzy4BkNhgMa+LjkQnlgNo9x31qprgGtWfjk0DiD5x2i8HNu+Dkj71NLZHd2IYa0jp3
DmfCSsvCJdliddzI4mpCv06L5HsbVgSKiOry227RJYbFiMTtpkKk4r5sRi/GnEf72WdHUoy0suS1
wUZHxZS3ENt8DXseu0anAX1KjSreplzy3DDTt7cShWHtukV1Ls28f9KY/UDlTDlnAeaHU+K6zp0K
PYLNbuikh66vCtzBVs7ajym5OMBBcp8Ja+qznobFrWHH4ZaVeR7d0/vCLtZ34j7ahxP4iM6W8QeL
IZaVKbfdnkHbAuVEnfdTIkznyEDhwsbOS2pVYjE4+Ah8kX9hcVInR83YHimyn186UAGfFND04a7P
nVHuWSsGNfxoX2L1GHpsDXK4iZsKlDV90iAZZZUPj/WAQY7W4MU/HOdlr9cqLBrrJLg6n3q6VLv9
SP6NUpGZvNcmI5KFuAAlwVx7Jkv5Hhn4lmraitE6Mb5bMvLL5yCFsr8ZRh4UJJbQ3MD28RZAB++0
z8KYnFXOob/31MCvZ/w6J4b50XYkvEnhpls3ydQu7GKMuTogZh0WuGQqkA4LSDRpDsJdEuKa9AbH
fibbEzjGsHyqqIxw1xbG8W3vNtFDMRlYsaaMT1QQQyYiS1/EsM25M9+bHdVjq860uRAHvucaZ3e2
03fRR1V/kInZZVfXieZ1IDly1qxOim1NmF0AjFHdHX5u+WQFHHObXo5Wy3mRsDC1vIbfxNBjz0Qy
LxyeQ1itM+eVBXpO88knS+BY3OdjY9hYOFmGQSxjY78hpsA/xPbi+iFpQJytORsow43rRGBHhFTL
fSiw0SfCIhEAJGhOWFt+Mp6zloQ9v8yzcexKSx4ha9eQhJgP9MFmjUp3TOOFh5Id45cYw+YV5GZ1
b/Qt4+bYJPNnhoMVfxBZA4/3QxdUNKxhpVmT3pmPdGdm2UHjDkEISKZmgtTNDgwVZPkQShqizCEr
0jvKgScGBIxy7yxneNEFZVk/TRQQXSuzHtwN8HNSBG7G0Yqo4SDM+LK4GUWFZyCI+5dhqkI2aDJ0
doDDZiCrZgDiC5Z/f83CeXrqZzNQ7O4yXkd0nzbY8EUX/PAHdzqQbLNuIgSYxT9CZIwxNxuaVTnI
uUI0wRJrJWMc3aK1j9PBRekK6Q+lCxCTB72fBvicN+FN3j3BrTP8oYSaqrZ46LCbAMqa23gTwWHa
Oxxym0j2xiEFEc72ffygjbJfJzVnpm3qzPnuKXAJawmF7LVNOva7NeU3sTtW7xldBzFFPH12NEdk
TM4YbACJTB8nbnLrfKBzYkOmgGIWdmEPlB/45Ex90973DhG/QtLVmOPkYAcsl0tJtPCSKOlDF8RD
t/YbL4MaGM0no6Ebm65JWzy4uVFk32NMuBfRZwM7OqzAY2F2IWccqKi4Hhy2RfyjsdPQ8bGiZ522
7FgOZyMGAbU2WUlvSS1OPtGGxL/p8d1TP+7KL3cQ8Rt9lE+GxYuV9IPEtuv3LG+SEc58EYsF++T7
NddzzqLl3jXb/ZH1o/hoyPCbe6vMbePUp+nRcidvD/I4uHdtbBNellhPuXDq7xiyNcJY2vQ/CW+W
A7NBZhe3oo3ZCcbpYIidZ88ZkmCA9m1aQ2VhSMvGD2nL8Is+qaR/qaKhXEoyrOqr8RxT3Q+RTVqS
2kcfFkMBmPWShBYfo5Rwm1ZuH9VfjkSoZ7yx4/4YmTl+aINxbsJFWhXhqaRr7bEB09hj6DaKxyHU
lXPE817MD45qHnpkqOrkqaZfsk7DdA+llTZQFnFXGEzJIfEmbdJ+q7j1xryy2rwt6rXvxmNF7J8S
zhWDeHuXzCo+FoFEKkmN5BCFLOpM140HEixDhbN5pMS+glwSmrnkXc4M8oXQPz57pR9vgQnbsEMk
wUO64F4Mg+r3FduKoD0GZS7Kd5ZxdA5z0IZP2LXcr66nAwRDnipvu1A3L92YU0iFg9U6OdmUX7SN
Br3OG2m92qZrvSALGTe69fAG5L2E68UGnlI8PDv51rSxLVAtRwDMyWr3kxdkvuGVFdArD+LxtY30
u62aCBxLn1PUJe2s/llnTfNqJR7uJSuMfagEUcfAYSRT+dLITj4NVbZ4XgTRYJN58XFo6CWDPYVW
9I02S4qNmzkfPiGS4KUwKICyomTLMnV6R24TrE3jxzSzkahsh5Of8gYnPDUOa7uDyTZgvmRWnk27
Ii+79CapUHQ24WBg6TJciogOdq0FXQEOCCXOPJ/WJtMqA7lLmq6GstM4I1XaQfuksbx50MKk/Zik
mZXQwsKrPJ6y+kFNWuK7qmc04Zk0Vkaev9uUc9fdJUHirkNNWNeEFrKzSbzuktz94Qph63VdKoe5
MUjxQaR6il8LmkYhmdh1FNNKppgIZ8e0rrXTdHfuMG5IIdR4B7tkCzF0PJlFiEvHFHrda5b03YCV
vgP3EYGd85GGILF4N80Ytg8D+eK9tO3kW81ny75ocXQ4oswqzFShITZZgTCFEygGTY2l0HiLW9EZ
J9aGJfBmp/CfgSmCFmIDaznrQvXVp5kHPhYrXrQ3EiYVTDhfI6ToEA8pnZhRTt1QmPIj9OY3J6FD
0+ZfIehbimmwDPi8643r1HrvOmr83tiS2sPEytzbJHbMJwZcTli6NhnWac05RU41/iiiZtoJLEdH
UmhzcugBz125NATRqUlr+yPFwbzJLa4zhBfjmZZLuiLVr4vK7yPlkCSsS9e1+SlG2yJvEqz5/MRa
ugudLN3yMFts9+gL/ODxFRed5RRM0a7G2529ApUWcZzD/4rz3bDYZWgh8opb22QY2kZUmlknDe1K
7LgRm2xjEyPlVsX1Rqy55M770M3s7x5VxM16bjvurzjwXYAxHcxtLkqhmJ5VpFF+jNYJ0x3xsfir
b5SHm7iz3iheX5oePHXIao75GfMxbSW/KmxZW20pVaEIEgtZusK63JT0lHdYpQtb6O+uga1U+r23
F5aKQdJgNGRtCQlsBylE3M+qrfSpqWhZ3OgwWpy7C71hcV+mq26Q2Hx6WzLXePQ83gZ1QG02AmP4
laCEPjoY3OMwRDjzUhHScIjPuahnf+f4iblnvxOcEMWGVQCd7Vjjfb7z+8bc1EoIHEKAIvPtlHTk
M6LBWjmqwwmYlIn+xLkm2l1oh60C4ViyRrLi9qtu5/52VGlFPtA22ZF5Fcrzyh4n891tB3ODJG/9
dDN3fuhjXvBMoyR7u1jcpzUCfhFHw7XqsUf4RPJXObr7RMqxP2Su+NQdA08mJIApu2TPEnNLshtz
r9OcibcXzus8x+QamCLsAvZ6J5KvvE+KoyYOjxMg4PNOmZBHC59AYdSnAljMJu+r+g6kLC/QVsnv
zBS4YTn8xKObvZs2MWDQch6DfknkgeDS1nIr70hZNKVGdWvusYarNQfnpqq0s7eS0ocvh201Ah17
dOrsMJdAwVaiyyiCHutylxbKeVTkEAikBOYHhVzlmbKS4b1TdbRxo6wodmE7meMhR2aWWw7J4XPu
RIdtILOaNRWtwZLFYOhqbL73dT8YzbuXUWa3xWzpkcymQ5W9vLXNhINzetkv1tHEdb+vs7shcKYb
4bmsYD3yMZdh7JkKg6Gdf0yphhefMUGuPbcIniZPiMtk1+lakBDiTpwDZ6gBjNlM8j9yY1R7BV59
eZmwltadhQsPhpIWHKKtSKsUPqDnRfuiCiFQWNO+yangxowC4MepET8ynDjPjLtgSXPsH+vx1zvH
WMtNo73sZ4AF4uipan4YAH6+4Y0WD2U14RulQk6vG9tlY1iaGOoTj+MS5WbvVflxsGW9B1olbmmN
Bg2YjbQP2V5VMuwYhbtzOjpwWGV5lz7nftr5bvNtwAQE4aOkUs7zvYc8dFtsfmq8p0MW4ciMi4C+
tOxbkzvmt8gsqH3vlLqhUQqXMdxZjCyLfKaHTU3r/ZqJxrsjQyjYZyTJqTbJ8DpTd3BG/yZgzFu7
je+eJ8+2GKTCeUPsuNmWRIy5I/c0abB13/a8jEllmYx31O5eOKjSLY9M8Foa1AuvpGoayJSQKm1L
Pk05Ozdiw/34JEhT7QBiExluws67Bd8diJVMxXQdcmPYcuIS3HJISwPqbU4YdGr7PFpp3W5R045T
FOs3Iw3MJ/AVWO5hPOvnuQ+Z9mTmvDZjau79IjP5qc7moRb8/FUp262v81SemnFgDBli3LCE65lz
5sz/GMv8XdCysR4rOr0E4bUf/eRHe86H6gFq1cA4FBk3AFgDTNHDa5vyYu3gbmxkznJn741L7W4+
PsRV7t/UpIRJVHMdwCQUc71ZRYOXnEkLlUffVMEPs3Xu6A0a1prCBgayaLoTLqCIEW7/Glgste0I
J+loVPt4TNujGGe0qamaxYuwC+8Ne+wawzpvEppVzz78sf3EfWNrTAy2N9HoTR9zkjvPUKPNn4Pq
oJHNoXfXzckeVNbc3tTGlA3XuGc5zdeKD7Stfjas7fXWcPR4YPSefsa03N1l2rMx0GOQg59LOMDM
FuPgxK45aElpgHSImaRmT9qMw9A41lkKLwUj+tDdm04BcNCjDSXOV/9PFgbX5FNBevjZ/vtfcFH/
8e+ff4JH/cf/oLUCkezwnzYH3H4lOv7LRuH3P/L7RsH/xRVAcV30eq7SqPd/bBQC6xfX5D/PIi5H
+loAvfiDLmX/womyrA18xndWDiwb/tgo+L9w8bMEf8YKXYf2gH+FLuUvu4m/LhQCmBNQpk0ncNhh
WMvC4U9gEuhSTeBWNG/VeUWVRlV4OU1mo2HSpasg4vg63HWkjeEMenC77byILpbgoIjQTc5ZmuK5
GdFVNz2iC3tu0iMr28ZXghtz8NWeMKG6jlYS+6uwgnoLkCLAKJIM6kQHc/ON2GG+AVWfH+kQ47HI
UtJcRd9ue93FhwaH3m2Ckb1dNbLtww1iJcNhgYqESsqCmfZlV/GQ20HunpMxwWXSEc7cRp1jXAfc
9c2KQwA7K/xT40ekO0U0g5TfRxJCFTLNIbjiaEpOVQeQEgDoXF0CzxGv2gzQMulboWUuq32T3ESi
QEjaTic3NLumL2mbvw2zmVwTlTxFakZZkkWPS0eod+pi47NrUzsCKFYsK/L8aiapvSdtrbemz3Wf
m1R87CcDabQ3j62h8h12tnkb8tFtLV5ba8K4uD7KeHhQvAXATAUgHMb8zNCdrKXOvnilLQMNqk0U
eCl0as4jvDbTd3Ag4hJThzQjXhrsMxOBdE6njuOcqFuEk82wO+Md62jZRWz2grMBn73mzmCgbea5
xUxdj0PKVBj7wbMlZ/NOYPV6CLkihlxaATCvgB83t5kzTmyZCirFKz+mMhEvZHcG9wMk3SQ5fFsF
LDhxKbE+XhUq9evzUFu5s86YZd2V4QPR5eiV4Z3u5YLYayGGUZXqlicI1mCna5pq6IAJmoTuniJJ
dsiNzga3b3ojQ21jATPS79Sn27tI41Xkeo5jsMr7/KGRYfC8VChuvTYYL5Tz9ret5ef8KAkhoS6M
AeMk5sP+MbBwuK6KxLFfO28QL1VtcdutB2Xdh14oboXtsn7yFGjYDtDuoQhJVK6Hrp9esSXJDzqD
0nvNHWgLKVRSw5tMEztovqV+h45aMTPnim5NGIAPsd8FB0pkzIPI5AIBL4p8HWV9dWhqv7rmdt6y
wnm0oVyxhyY8a8Qv1dCM6wqH6Q0+zeZoAdh4G33ulx4eIuYyKrECtIIW2jf7Euodu3G+z5hLrmlj
8JEZlBrg421IYHpOsc9xLfFUw/raD0phPZ1Ko6VtSdmKdyOdT/Pa4MpJnN4cfoDyf2sJ3F7Sximv
QxOOR1kP3C/S2W8OnS5c4KRkx0p2XvDpbSu6TbU2YIz2UXmmhhzVk5h54oPUTPz7Msn1i0WBH7hU
LrxXHVrq22gvxgRL1W228oNKnL0ak8ARVpLujmBJBLdcak6n72wlE+dR41LfaK+svvKF4CrXViNE
fQn43cdUYDVdYr1COBjHY5z6nrUiWkwTNIGRzPx0RBRh96loG9p4E1pC61dZuBo6PyhAvfPl0RL6
6RmLibXxurZ4tezRLU5xlcBlofkj5Sbowa9KOo5pdCkHq47vdfkrd4xh34XKoBzNFS9dEw4Xy2n1
DSW+5XOuoP4gRsKzBNw9ml++n/p7zY37qhYiCLDmaNe3aQRca5qd28oap4+S3dVbjpN17asFbMZT
xAmLazBI2/ppSGzWlbkJtXpc525Tfcm+re5ncpw/UkNPh8zv5i/FMM8YafKF0WAsuc2d2R33o3Q8
/ZSgGAY4jXUgoQZVwfhAMABt3td6FDuElNk9ytSxNm3JXY9UJnLVIbLHLNoUBBHzK/0qtX0sOqcr
touLuVtZmZyf0s61C6QMt2U/gnsxhr3rKrG3Wfb260CH2XX0SKMqXzq72orxZ8wYKFaIKNV+CpeK
grDiR5nL21wX+UXRa7DGSDuOKECYkbn687wOuj51IsXlB795IN86Flfk6OGZHLu8tHQTY4HHZfm9
U3w7a5XxSJB6Hmt2H13jnEHSBvOu8QtMbkVegxrMKKkt1lFSTJ+mC0pg1WdT+BE3+M4IWiZDuar9
GFD91ODL3GOkcbDvF9M0YRHyuBRkTKMP2vcptsQ86MfnSLC73IiOXkveYFWZ3PqVqc5DAWz3mLJ/
OA617Q7X3KXX0fEET4E2ijM7teQwRGEQrsjGQO3AaYXSFbcPEJ3bnc6V+d6084OLnr7Uv0Xdo0nc
oVxJY1n1tKlaLHNlT+kHmqx4J/Rn5pusHsWr6rwuXLuipjEl42aOPNkILDoaa/XMmZ22WF8HPHgg
KZ89qx0e21AiVFT91D4KxwzPMMAJJRm2+2Dpxn01NO2bHNjuSXuwab0Umv8wTNc5zF0CEgKRNPCy
C7iVk93ywLIHzVlj5hUL2c5xWUJgoBTeTQLGYyFoU/28arhn4VdTZOD2+GednwxOU7erDXAv9w44
mmcvdvrlq9MglFF8IveJUznP6Yg8u/NN0cK+rZAhtoo2uVvD76BkGb0dvtZ5CLIVRQwACXBa5+DR
n41L04igI4mYeQ0mv8q8jcZh6hAuTtPiVo8kuLZBr/M3NGHzVqVcG2hVg9m9Vv1UMkOExBXh83dv
DWa9286eF8dbNDtrKT39qFmgv+Mf8RBkOu0nW9p/OWjMgtBznNvc2rg+gxwvVHOKYsPUB1GjUa2z
uNM/dB6jTRVykAEw8dD1D9W0pOkUy1jc2/SO6nVsxhzYtNQbep22BY0DmATpw0DiX8pZrPoL+4yX
rf2yr04sv6iYdofmEw9MfqhZb312eAMJlY+QCcCCGB44QK+YQaQ3KZNDaso3L5LqAmS3fyWxRKsR
sZX02lvVczAQYOCem0hrC/wQU6nS6TYt+rTDj1V+mfSc8iqL1Le5rCi/bZbFU494QUKH1ccq5p6z
ivDicqYgEGCoDtB+y6xr7rjazDzyESXnq9xJyWmkTdO9AYBU3UqCTLWonLSHb1Nc2CCQMiuVWyNw
5ZmWJ/ncjSL+0QG85JGmU6PaVl01IwzMJb96S6P2Zm4BDnEqd5rLuCagi/VGhBta35edWxe9IOaV
XNNjVA2MxKu6yWuM81Tg0ZaxZyA9ZGYm9EqlabnjPllTZzhjxsnGFntAQMRoIGgCy4ONwiZhAQ1l
iZSnSxplzXuf8wRbqX2SgROB44ThXbEVfmrgDK/BkRQbx3LHt7AReb7Wymw+JCutZD3HsfM5FmRE
ox56djW/IWH+6Nkc44oE7KnRd61VsHg9Vu4UeGz5cHbsI+R3k4xSPO8neiynrdEq85vl8jZ6XRbR
BTYYx7tDMg6OM+2QauuoPG8Osq1zi3xHRzK7C8vso5beiCDKAYELt8JryBrA6NloweNSvC7WLe+A
I9W99QPMuuElagFHIyzZA7ocUya+wHNv+9gCGogu08HQFDthHCrhQpR2ODwFsNGRouCS7B0/Kz58
iyHBTjJ4JKR6jB/KNQqmTjCHLyzb1T0nkGnjkXAw5WdZpe9Yc4YX18SFsLF9J7zL0lI9mhbRvH2E
C7Nm+1I230WCIQ+jZFpaGwa06S0IxvoTOwVPB/JlE5558BgMIZdV76Ho9BNNPM6lcx37rhgt/Rw4
QVZvnbpDP3WkmHjPwnmBvGGEe9cGC8Zvz0CWOTa7L7edcLEunr8zChxMMbPy6yVyS1s8J65T9ptU
o63Yph0f8rxAZja0L78t0N41ZFvCwHmX8wNsCXe0JDkN6z0MdHeyxCCvA44q0PDBMoL1rWQeKGZb
MRw4kbNiJsRFH076MkWkNFcsw1jszGjH4T4u3eIHh0T6nmJSueaBmTqbaaQeic+MpCJ+bpzrrRUv
XcxlFLHIqV4wYfZnHlZiUslgrPvasU6Wg8Ya4Gml0YESHk5VwFC+YVvQB8KI7JJIHTToeZLPeKhp
HQhrHm1FI8sHRs30omqPkJ+fBCMIFa2sD7hdoGHMWK4TI0NMm7g3skast7hMzgrIH5YdNgCkM3Pi
QXN5V/kitde9gXhPNSUHS10BRFea6g8OSfKHJp5LQqzf6YiZP8Z8IeXV0DuWzsr0o7YhWYFwko8d
DdXfqGY2H5NBcv/zeYfc9HUdDXsbn1y7hgmN3Y0Hy7R3OM5w+iRKnUlzeNuxGMi309QBgHMi0/PI
qjWnhIPv+z70rQCTXE0ApPND/zxJFPI1Oez8RccUPI8zwwVYmHxe5DMdf7F2ZVisomDbYE3fs3ia
JbmVMj5LfH53woriY84P4Cn0+vyR86K5SIdvg8kIElCfxRiCB1640zz1TyxyTsSpuFFZ+ZufctqO
oSsfoZ79Zi1FwJE/qrvfzIj/Rm5y6ZJv9d//9o8wRrYeeD08Go1NE5r0Imv8WVEIHD5YB81/nykr
va8HxC8XHzG9R5Z/SuYce085xv8NjPEfadJATjFAOwCVwCDb+CP/+pfapOTmyM/G/RDL/MKU0d5h
cqs2DlD4p3pW3Y4rmTjqAdTln0yk/4dv939jQPI3I5tYhCBcSh7dfyBn1543+Hmh5z00PYdRx3d7
zFjCOKvJoRYnp1Xv6/9LcWUL++W/a+k2LZvT+p+afG/eJUXdyyf6m/X3+PX3vyGg/f7nfpPkQu8X
2+bajtfSt23xK7t9+KHbv/8tdH5xHDhsoc0c6/EbhVr2hyQnfgltD6Eu5LJv/saC/wP47oGJxzEc
UG4hPL6k/69IcnaIIvhnSQ7+K0IMq3P2ZEuZuL1Idn+S5OZA22Y/pcWRWgpeKf47ACtqIhIYl7E7
RZck70BwGsVzVVO152UE9htzpCzG9fxrGmg6GHWwT2kLXEwld6XDSs0tg2fpFuEmByg1rjrefOsp
i9dD5vawXzzym2wnNwPE7UdNOGSNe1Adgth9S/Gg2VpcJ83SNfASXJcpaaw+uidHTJM2QDkkaoUF
MHrG1xPsVE8tol94F7Ro8e5jw9v3WbjVlU1RdhDOV15NBUkaCEE58XLaavShM4KB/UTPsjcNdiRX
yQbnHT4zor+Mapa/6aRiog6H+yZ2sZzhKLF9jLLFpegs4CD2Q1J450rVZNI6/P2V/RN72XgCSwkl
RBF539uxekz4bG8BMVW7fjZqkCfJM28YQvLDhVoPsQnb2rmkE99y4mQ3GGT2DXDKVVk3V4fBnemu
KvbJ2H7W9jTfRC+43pDRGohRcbMgEGNKmIz2Bf/SJm86zG2bqSlwQ1hB+bNlwt6E0GQAdW/YanHP
T59Ibh7jurA3irqyDS+ZFYKwhNeSHoypuzdsr99KLuPPXTJ7R+aGLcGNEa9LtZ1qoG+oQPJQVDJ+
LAv1wJ3og6I2fyW1m+8gbATcHAv31nMUY7UH75J9er2eJHnKoHUj7EaBd2TZND3BunpwssUxRya9
g4LFJtXMgTWutGbZ0RqpvB3FFRX4mTO13c+pKO8GZXBb6PurNN3bmOr2LBOvMp9u8pQdbduNAEgG
RSBDH0nfE2GTr4Mc1HlMtpM3Ae/r9A2O6p9Z+YiVm+UKxvUDmB9iy8VERTR7tLEnHsS1vQlBfZAx
NVe13dxMYFYy1DHguSC/Amr0muk4avM5Kl7sHJtjDZ1yM4rl706PjWlgfKrNZxutdh1MPeY6bFKa
TBUFcgV68L6JzBWGxHd4HsmZyfZnnobX5fxGcaJwq7lzWlIyoByx2T6oObbeegWKhhK8ZOvSlPUI
YHPHeAQ73p58CN+Fgs0cM05TgAhRlaDSHqSB91m7TXduVZa0eKE9cQefB4RcpInpuCp4x6kEJbcr
ucFYIZ4PS3XHPI3yV/gBBOiw4CUX8uomyha1b5Ov5JP2uXryq6qPTmVOb1OmqzVG1uouFk5/9P0y
/55Nkf84u8nMQJhRS1WX4kxTU3jm+iV2DJDsZi38ip0xj1eaWYunmabbJ4xc3Sk16+KZ2ziJpN4G
O6RqOnraqPdBiMT9jTuES1zfrS9ZHwz3Vlc6N541dycwnNYbzZbd1pfVuBtRY85LVflR4YS9nVUV
/3DckWCNLiYF5DAjF1BR2n2dscRccQUOF8oI23MeBWBeq7437xjPzQcsLc2NFdkWTP8qfp74YV2b
0FMXflX8i4PYdilYaNBxpRKqVouaeQNR9Ya7otzELRu1lPt0efjnUwAOnr+c2lTRgDtxHZ+3AHR3
Rrl/mECyDCHR0bM8BlLmNzX8S+qvdK9vkE3LTUfR3Ka2BoYxG5+RNWQz9gRM5d5oyK3bds/kI4xd
7kxw1PyUYHcLZHZDyt3ciTjkgu8m8q2NOtzXCX3Od9CV03NrFvQxC5KmTTjf1WIB10RBfp3kksRr
UEmiEbnbDb0DEgZXWktT8zR5T0rFOBZR8G5FJ4N0M0xd9FQPg23sQ4oeWRD48Kw2FJ81IRJ5HIJw
I8cEpBR23presX7cm4Wkxp06iIpGuBh9vsHCvP1P9s5suXEky7ZfhDSMDscrCQ4SKYqaFXqBKTRg
nkfH19+FyKzbEcqqDGuz+3S7zdKqskoDKBJw93PO3ms7s1E80JeQ31pyU2EHzlvNJL/DXZxaHRoX
SzAOp0iqQXL6sZ4JQkaLo4ZVc69yxLt9b91WU3eMqgY1vCvXVal3q2FysChTiswFQjKkXOkKl9u8
dkcs+EaUH+iwDIegKY9uzOOPPNbZgh7bojc01wnT7Q3tDIbfowjfosEZsTyO9lYLEw13Oc2nUiXU
Ex5ePpfU19uKxAK/6lHFEmEMyJDpMl5BnK4MVIR+HCvHRVKRtMfY0byr3qEhhS/bPIYohE+p4+m3
JSO8c5RaJoP/eOgOfNbTsahEfDXqnXdlCIv7XY5R++6SKWdjObWiD5pigJGaYNo2y5OCDFcc5PL0
gOIiQXF5orJW9pdRMFkngE3TTVXHBFHoBfsz9vZTNbJVFqJpX2uFYZ5y3W636fIEEw7XX+rLU80x
ubgflicdVkZ4UQ3WuK2XdQCwnndQILEPFa6BNYqk5T6o5R1yz+wlXlaTeVlX5mWFsZe1xllWnW5Z
f+ZlJQLa1+w9rdIvUolHtAgFS9bUNfliG+kvkjT3LqqOQNus6yOKSiFfk8xUhypAeAM11T3j62Bh
9PjuAwcQ8SZciR01QVSER12c+W7tumcesDYY/m3imPnpWsFgKQjXbeghtAzduT3wb7VbcFq0LUzH
TUYiAIMJ7i/9z3xthBbIuRz78HAqcEOtdacGgTm7HkmDpjch0DZGL0iWiUZYPZke9R+/JiXgDddy
2u3LsBnCo5npIZOmNrabVd+BFdpYBLqNPHbwc5H80lknUC9SZD9RToebfHZQS08OYzkYECJPeQyS
cifrzgJiMZhXMpycm0lzjW3mWe2mSWzjtp0bmnbWTDG6Qz2I7kprDJpDQYJ5BRJw8J1uDcMQ6WU4
NzAlRdoGsgInoCGZiad0WTaf5yxjqjFHhcHagmHf4xYzauPYWJ15m3Y170tRg61T4EGSZKRbRUpz
ZxZIzaW+TdzuoRuOAhDGJgx0oky96oqgZ31ldlqw5oyKib0BWqS7dIKMQC165pBeXllhpLYxV+hD
8oKvfYRFPL4ZhVUDULHW0lPmOdDr8VR2PKOibb7H7ndYoN6lMgHFCFeZPqzy8UjSqk2sChKTqLxh
LH6blK6HqVOeSW4N9lHuCkyihO31te0eOjGJfVYGpMTG1iXtzNsyBXYnYgNzFvs/2qnqDW+VtnxG
IbYWMs+aaDyznT/MRhV/OvYYXbT9PADKKudDkhJhOME0e4STpPzEqNWnVxrcg32IdJG+XKdjxPdi
N/xfycWfRdnv6jzXE9T3/znT6/iaIrl4Hz8+ql/qvD9/7s8iz7X/MKjiljwrC32Ds1RZfxZ5ODl1
HVy6biN9+EuR8VeRZxh/uDqyC49afhEb27yMv4o8+YeJ19nkKx4dNyQd/y3dxVJI/lTjLQ0Sjgiu
S8tRmEwSF4nJzzWew2g8aqwCL8aYX3p5u/NIRj5yF78Qk00gjav7qaA9DJFvF8iQUbCrP9Ll1Y9l
OzyDMv/WV82JZh7cxmjo913dnfHWu2v+itgve43tuGpt0FDZcydhqeH1eh4d/CSDurSocYk0oFs9
Vqjgxt8lw/zaEvnxx1HBGs6iKaGnZX/54xKSvDrQq7Y/5Qk2HGKUg8+iqc66cNc/fe6/bb6AH+eT
dIQkZI1/CBv5EssSshq6Q57bPocl4EIFK7R2VB1yc/SC/3wp62sGjbDpGBgMK4Xl8F/ml5ARJeIx
18BNsr8Ob5QEZFjnxRPQtgZBgXERDPCSMqwdvl6LyncHykVd0AxywzraBcYIfaRfRP7uN77rnrj3
K5I9Z99xmudQGw/k2L4SF2g7FTW9KL83U44x1Irm1UTWlLLJYiucGEaxpV8yeeK038Jr6IZ02th6
PPpRoDBMzd/qOn6xmGmuslR3fvN2/zjE/mo/pi3hYEsWtE1Qp31pTQRwiwZlaZ5fSrmLCDgwciYB
VdRtqxL/XPlc5eIVC+XaRICGGgfB9JC/Z1r0m6bbjwv9+kLo+WO3xqNmm5IK4NfnRzHcD/PQiTYc
JSA115ihBs19lmHb+JORvWV9erCZ38ZZdmj6+b501M0QMHGH2gYuwDNvrJ6szQn3tFPv7NB9nZPw
JVfGltyM23++c8ylBfjzi6UJKlmEbFPojL9YQn59sUUipZZ2U7TR9ZkEBEZDrj7eo/u5qzVxVXXx
fdszDcb8ME8ch2v9UcORsmLOsIrolILW9AdjxgaFin8mJS8S4n6sGvvP/eY/Nm7/9unyOjEhmlLY
PEoOK92vr9MJa1fEsauBRsjuKkl08phzSq1BG47kZrYo3VFLj1C2RGez6c8vQz3fqbzZ9Jw1//lN
+9pF/vJa5Je2qi5oU2duFuD2Ipa+Ym7lGSudYYYtzV3728v9WJO+fEYeOj2EenxSrvmjvPup6ebi
RYcMwrnCQooKF60ia6dr/D4fuSvsOyPMzK1URDAPJWHAJJnEZxGpC1uPXlxlWYxIg3YTIolYFV7x
DKENiZa3zZP2Hl1oejAjwCl94E2w3uMbxlU9Q3qG+9Z8lF1r76GF0LQwoFk1g0mNWMJRDfsDRWey
1gon39h2feRwBFmGSRUnrLbdd5xHNqUD4JPSBg9BQ9p4Z83nf/4gfl3M6WlzUwhTF+AGhEHL9MtN
oSxMMCVOWX+e7c1sh9ukOmFdx3zym4TFf/OY0Em32BSlzYUs58u24cwCmkDAM20l7iEe0g8aMgC1
ZAWp1bN6H7rPUzKNdzbI1K5Xt5YyvwUybxkXBS841taF076H7oz8O92DfbnvOqSHZbb75zfE/vut
+evrXPq3P90qBMC4oVnV6SbAcKKMcdumbrLWk/w5YINegREZ/KgaGGxD1FllU3HVTLTDZFU/h3MO
I3yctRMyNm0zTQgQsDgOV0ypch8SXgrbVAa7sBb25Sya9LFnwromiO80lLS77KqnsdENzMRNDNuF
x4UFzWIf1Hm2CmoCRbRRdSs0ATlzso5YEbt8mrrkNYgqk+doVC/K6R/xRAqGXdHwSbInKfaM9rcB
hdWhgNS+TaPs8Z/fs7/fRJx2CCHkaGXwn86XpxksBccNi5zM0AlOHcWlA6U6xogQVOb2ny9l/Ltr
ceZwEVNYtuEYX/ZptOjEY1il5w/mbF0SFoChubKI+1DhYzRSlWV1Td9aXbXhJ531cU3bhr6zxwY7
dmXjg4kQfChOcza83+XYLdf+dZVxLcvhqWVGxtP09diXJYOB4Qf1FCkDl3AiXEc7zPXDb96BrycV
l7KY0RteGq5hmO6Xd6Ax07CnCR9uEqT1cnKnvSKczA8c2rZxVPqq7W/HsKpeYb49JJgindbaJHpp
r10bIGY952RBNHGBDGwCX+lEx0xDmddg0v7NgeLfvVIhbTZFbgvT8L4sLl1iISN24sCXomRVifPt
gOgU43WEukPPVgK7A8jvgzS73+wvXweGris5xUhBbhu7svN1saEd080loB6fBuEjSmWWGHTF2Mat
wrwdVL+O8/o3l/xb5O1yTUaFy4CJHRaby68Lh4f8wnbpDvlejQHGRNNi0qy6rGwXRWvM0T7v3yD1
PTDieCVc8dWciYQItO/AJQDPa2V5klPxmbjWhVGCWk3u//m++TGq/OXuRALE+Y4Drov/k5P7r69v
0mqj1KnqEev1MF2aXeAE2M14XOYRLmyTztnB5iYaJ/MzcaLLfhYvbdlMGHuCb009g8wX9q05Dp9J
hOph0hGylvVKS+PzKNJdFY1sVSUQmKp8E+y3GxcC5RBq3kXJlxHDjZdJSmQEeWhIEPp6mzrth8r1
+17Z3wwy5sji2A5NurWZ7W4Gq0l/8wm5v5ZlbHZoRihb6GEwvzZgiPz6DhRxTFPKiFy/Hdx7fB83
syz3aKaA+FeoMLNFUdY60VU1hdnaCPh/wNesGpW1my5sb7tmvLXRAoERMeUavcp6Mhs2eOAfMtef
3ZquYg7hkxkLk4n2B9GWxbsew20zCvhqeXp0Q3v04yB4JYGL9KJQ3uHF+maY8RWNKz/NzIsmYTcg
FsEfdQG6Bo1nlAwVIvr61PSxP/BCDT2/zrLpOCXJMc1S5h01ee0AVTQLlHVSjLuuE1ekte2Qbs2b
yUtdCDp4am3cQ5uJVk+p6cZKH5nDdYCPFXHC28hu19YEAYIvXUKpfBub8LrMnt3Z28Tdxz/fjH/b
ZIEpETqtu5R2ugWI6NdPohdFUKA/5TwGp2xmKAQmZV9bKwNe8I8r/Q9GYRkCst1Pb/ffUFiH16YA
j5W+/tI++fOn/mqfyD+cZX0kfpxhODUBT8Jf7RP7D92zqQEtYFiMB5fGyr/aJ/IP3CzIPjiD09xw
Lb70L9uKgaNlWeD5is2/0OD54Qn6L0lJ++V//ywx+bptCLJFXdYqtHj8Jjo1v94conW0yu3I1nJa
Z6+IZ2Y1+WTGuiWt3EcteDOU6Wdtd81v1gfEGvzmn5dIKjmqXodWH0k7/C3mr1cOI8eaxUwzXsCv
+wjo01Cm2bSAR2dggGbqM9LCGEaYhZQJdMbUsm5AmYtmIlXa6hO3EWLtFL8i899UyudSqvKQmKjF
YOspO/fRi2LhpQcrz3ZWT2ibwdJtLScgIbAhhW0Wg3uphR2gpxYJFVNkLNIZvNEV487rMYTBLizr
DcUmU6dUbhMPrESnRTQi6uJW5XmOT07fCM3UAdJOFHNYc28tDLDoVvB9noxSM84Z2d4nFxk/cP0p
AaAok3v8FFwvUFO7myyR3yin3KRVckyspL1aTDKryZuNmSmtrhjBpDE/PMJ7WhMXMyC81+yHjhNF
u8YVGl6jCkNOWuQO2T0qWJkipn1cMTxdm52TrCycg48xTp1b4QwTR228dyHZOgaxRzeKjrAflF30
3OmhFa5TBIFbNadWubYGTV6PWtt9BhPNfDC1HtLxMOm8964a0WWrkRUsbBA3T+SZ8q8m95gf0Gm5
bcs6oH6zFUE+mUkIIIYgNe6kLqMDvUbsxWSsHAG/wPvXHHGaYmbresyZagMTyjnXGjwzDvb6MW4B
QvTVVJynkDpuPYcRHKy5hkdJ4CjufNRkxa60++k4JLLbIv6ndwXWdAtJbT4U01A91IV0e2CPrRb6
HHbLRxNWl8/2LAkPSenc7XqJmf6MbYbqL7JTDiyZ6jusWEWdr+228pibgbLcU/dimyfJbX7MMxM/
1CpYgoFBdcDAIL9Aqmu+D0iLORbGh6O5DkQzUkA2Az4RxshjazCE10Jn3ZN0tHZIGb3o2wEUhyzK
ZNiFgw7rq0U1Q6zrMg0qw8p5dBQs882cKBH4YihwqE+dlCuGU2j30T6qiyBvEagDd6qu+j7qXurC
5EZKa/2ZjIToI+jc6o13Jr5t08K75uSEFbdWkHo2MfbwZzwji5Gqj0PmY4Vlryhhh7Mwe67Cyckg
Ki/1UEpmrv1CAFp7KRAtTOvAHhCDx0NCwGNkGWpjAm/bQk5Vd2Y5W7eFIUFmjdBXZo7pNRy82Rum
N0p+hOlJOFY0kgzvpZVl9NTEvHsbWzYl1posJWPUC8UjcklC+fremDYwKqbXnHH0AwgihIAmeQev
dZyA3KtcjYQvoxEOTuek0eE318aH1sbGXdRV+ePgJMGNmCz3uegzqEmRlQXIWUdAC2GQwACyjQH1
aU934K4Utb1pVb+IvUnxzYFqirT1W2wZ1jaOJO4e0eBA98XkmquQBtK8iXQi4Bnh46dDnmisBvoJ
KArmYdhFadTcNuNQw4sK9ewwY2s18NsRe7tK0a6CPclG7VpVCsK4kcr0EToYgksd+wDYtcIFNKE3
he4L7Eb7udYqAH1a4ipWQtOFjRQvFKh+iVerEpmctTyLzpgGnR7clUP8MFrB8SYm/eyRj5S0q0rk
4MRlJTaBLZq7sLfolHJe3DiWk99kwKg2M0wQsarEVD9TzyGGnViGvo1YcV5YzPlESWHSULO4BkgQ
0LsalMEhZOobThXICJwFE74SfeyQL0+8Uo3Anx5NLz14mXjaGj0ry8IQBDTR4QcNpxHV7GOmN9jp
8PclLRnrnlntwUua3+KuHegA9didN7qh0ecH95JcJZ7ZnzVHVg9STXD5W2QUcgMUx34eCS94r8MZ
mE4eLcTgWCcgijFcExI3mUWzA4CJEvbCCDSUT5SZ6QmngR6dSz0cow32UuuyHEQY7drM6hiiaUtT
TvUGT1dTAqryMbRor8jwJ6Z2YdC0qJWLYNsWIOFXY+sSbGIh9kcDNocExluFZq+5cRqQd2jzUZKj
EAfyOBKpRaCRclZCOUwYJPxLOnQN4XpNW+X8iJwvPQ6k68qUwRV3UvPiEq54paWN+wi7Ob8cEHEf
5kRnIdZbke1ppLGDpkWvnnJpsOiFMh5PdpfKYpPDK3uYgepBLUojShHLsd33Eivd3ZSai0FDF4jX
oM8Sg9i7zafqh+imQTobrWPijDeD7o0niSJ2yx86rC2SQ58KRrjkRcoyXifL1DKkWIZQWcyH3IQO
hF2kPbg8ehuLV/5K4uWpH6Ng1TM8UquZ49f3MHCykx307bjpAeWC47UWSZ2JMEDfB7htxlXay+BV
D5WLal50qTqWQjGQBnUVPZHEix8HPNVC55omSbYpPWwi5SP1bM2WuGf5rc5TY4pdqE/qW8n+fBRm
OCFfQszyLe8nj7NwS9AnhTI6f+a9bqwjqDIQbLQqZciMu755GXunOxPNOeBRD8yz7rYkUio02zKI
5weHB+kNiG5AQgeBUoh0sp0JwR4bQ0lYB6KprnmfoewDf6hbZE0e5HN0XK0wb2KETHdlafQXvW6m
2RHLuvvN6aPoE5ZNHiHKqPHogvGRvHFJNIM+AZNk2hfzZBNUiTlGPiujEq/sLvENs7cI4TfBQySi
m30zZ37ZVWTvYstI3WsdVEUN4wbnGszjgpAvOGFMfTAz+ZOVtTwE6MGnVktea9MLTuVQPhGSBkod
MQV0KqOkngfWs+VggLql7zR3OKjIXry5VjSua5gmYp0HdrLFEkskKWp6snUWWmRfadD5clO+1WZn
HYpIYKiYXCNsID7Bdas1TWAJML7VC3cynSBQwqfyMhLouc02ntkSuWqYHBJWdu92n+AsknpV9wyI
QOs58la3RBhs+2EhXUpitVo/ggPD02mBIlyNo9Vw0wyLzFGXCXgvUGdaeegH234au5o7KieNjoMQ
BqI17WiD1qeOal3Oku2SDd74bFLCfVins/A5bgpSQLTenq5p9QPu1FU+bKJYkcBCFBczcqic6jKu
Y+17EDe9XOFrQ2yTkh++rpy0Y7a0mGeRGGgvoSZKsbZalbxOo8Uq8CfX1SCh766QFXGY4YAGn41q
Hh/GFOHLWv3AjarAgi/CLQCGFCffIsG3dOtW/wEqzUYBtBSheN2se6jmF50w3Xci7wnaQbK4yDp8
kHPe2lpopw6hkE80JJY4y5kTWxNEwJyIW1wNumqIr5uYRnkF6fSrDoSqWliqzMWKDtn+aGvmKvFm
uQo7mW/tWINjGMQEeM8VF6ugsPYLjzUUkFlzawA6jrAzj6diH0KbTEjNkDaQGk3bjHkht2bbZJvF
7MCWOwRnEDHwWFxiA7ayyd+82TSeuBOtzxFzzQamB9rRBinD2QUbckyiaSREPMnc29lQcblBJhTd
acrIr8x+5P3joXic7JHlKrPIj9/JNlFPgS3beyQIQGkRiE7K7wHNGisDcegniPv+zcZbSaTPD6Zt
aQX64usy5KclWxA1M6Dpe7tSJVtsa9pXY2sxMjM1crpDk7sQs9BYRL7Rq/Ez1ohDqeYaxtrMorKq
iqDqgVspKLtBEWLNCrpuMvdMrSbpq3RSlzY3IofehdELrAWMShqR+41P0oLIHxR1dso5zec+GEE8
8E6TNZvQEPEd9DFUG2omMcmlXUF46YxKp27czWgifim9xCKguu5HfZUVgsTQLMDePqmYYZUbCe++
DAa8eyTUcxJko8xqH8kOYtzSqGEFhuQXERtKB7/1NVvx1rp2+WB0MHYqHL5i06eVfpiW9vimawvE
d6HTZk+ql15LYmwffQDxBIlc/8AjI8TmiIjai9SKcDTLR723svsRgMC7SWDnflRqqi76mGe0oDIu
ifVtMNuQrqNvKWOd61GlykDNVmRI7cIF1BwuzGYPPAKDngLXoD+MAeZSxiYmaThlWd80pMsP6y7n
NgRMQKSc6DXKnNZu9LPpxrVxyGTTDVvV2Pq9i3FkNWrZRzFnk7ugbyLUgQbCwdWQo+vdOyKEMNqM
yOC6gSNk1I2evIxzqV8GDU4QlmUnveiWlngLKJ6ZTGoTpmzjO0aYVyW7GMk8bu2QpFetTN6F2+oI
wpF+H6iSnRvSUQ/wOfXVWJcXuWnOpylKH8hpy/2O4mtTWiOMczvbxSUxLaBrTNTo4rrlAbiONewv
ILNwZGW2Tt3A8QNpZRsh/e3STa9mCgsgl37UZ/1qGkadOPsm3hW1UdyMdpefkZeWfmdwasReppqA
yyg7O5ZQJMG3UIu4akEiTom4ZnKBKLjM9uSTG+uE8yWchfGMoE5/1AsgByywRE/gb3wqCIfE92OK
W+xycuNVido6oLZwtU0j7J5eQD+cvAuinOyA84kZAqoGHep7QQ3I0khRu0L1mjd6kxUnAh+9y3kg
CHBdBh5hoizeH7J1dzVhkZ8EIqfncBi6VTcU3rdSG+SlS5DMs0lD8V2ygWJXqyjOspJvsQF6r6o4
ILmQ35hq53np9xIQURERM0RtdZ8jWdpDN4TgN3rKQPsdEckSFD28Zq3auyIaHiq3Tl+CXgctY+pK
+xx6t2hfUIjn6Jz0eDBRO+N13DUJeb2spIjSuxg62kXcV9m7ZnQNozGIqash8tjAkgmWxgogcDpu
s4HTZJpI74apgEQPL+t+C3cBQkSkV3ix8e9DY0JFDAQ3XfbMSlawu8BDsVDJ0RpTnzNSe1n9WHY6
Xtq3TtggIKc+hoc2gfgJWP7N2dk7OWXClgQSIovNsiWJp3J7UriswhAvHcmVH5UDWc63TS9Vvmyl
d+EN3uTt85rIqDVJuRyiRysTHzIk4COmk3Nox3Y8QS+dCeDSIw6mvZGQZ5jb0JXssI5vaAuU+663
rFu704d8E0qdJTGQhIZhCQ6RdVQtUSzQ9JSzi1FJVJCMgPauQH7pR5Bf1T7rBk5PnYywQZcahgOS
HWT35yTz/3Xn8/8/pg/WNIbL/1lgdu6L5PX7z81R888f+as5ihfIWsgOpkU7UFBh/N/mqPWHhA+z
+HaA0iAS+6/mqAXThwQujH2SmeQP+dBfvVHT+8OxMZDxg0wdGLSb/63e6A9pxM89SsZZgtkndabt
8M8iYvt5Ph2GRMHF1Ha7vh/afWOk/WsRC3iiuIzPVqa1h7FGyZiB5TwUAwRPLIXhRTPJ5ODpBUJn
Op+PEo32u9foBSkhrrZ1Dd2m95BMBy0tInQAxJ5CtAigtgLXCaf5VfT2uUxin1OrWokpP2gaOy4b
CcVqGfRopGLgJJgx8Zk/knj7Htg93Tonv0zbqt6RPIXEBZjGtK2r3l0rU8bwJlzjIXNiTa5qhtKX
1mwXV+R8zNd4CfM3IiApc5jxfVcxplmuN15XntK2pq2FrIHCDh9NnUKckGT87orhSOMF6QsZp5kf
zlyVwHcOvilO5fdBR98MRCN8svN2vNCKklg3YVD9FvlNheHmNVVRd5kYKsdUKqdrPEuSZERnsrDI
gOtYkQDVn6NsmvZaKopDGY49/dbWmeiImAB+u8R84DhH83ECtomh49RG7KMkLJc7LXfPQFCGh87T
w486i5vnWIz2TQ6iaFXq0oNKWlsId0kqzUUQ3zEnNS88Uz0m7lCfI6jWdyzOzgUcO/wleRAfh0gW
jyPNWLAlOgjYloxpbo11U9fJ6wgu7hRFEjhDHSOuW5WjO9zZXoKhoKL1ho1gDQENrX8v6mdBhxb8
hqrexBx8qkTJ2Xe96Smi35FGDkN2M93ElWHcDDLVNzF1yjlxR+/ZFlN15DBqHzDEWGSPztk7FBaC
AlN6Eqs2iZyTKiztBLce6zLQKxwyTl/vIAHCaJxwsNJAGC9z3Q5OY0bmKKcAzGOGNMBha+ZVrdyP
oDkY5rOVcGWUlt4dAI3yMnPa1p+ZITlYyvpqw7IbhmsIj8W84kMgbkeU6cmLZqSXpGM/mHNmXJNr
2KxDu6yfKK1xMSkv8EN90AEe1oMfgmdY0xEgccvgA+LMZ3pXOedyssXKqt3rUUA2V8E2nWniE+GG
PHXsXpvarL2t6ED4RFiXLzqaUyd0q/jx4tr3Ugd7UOzKbasa996DBwCKKweOF2nIFFqKhLVDhQ7k
A7xC0gAbqMmU3c4F1qtJ9QD8FUR/0Zf6xp6JSA4hg1/lJMCyw/fuLkv0/CKfgcJPzS63Crokcq6u
AhnYvoP43enEcgCqdjMHFBLOQRnQHoJpseYs+92J1A5AACmezgTdt9fTGzT0MSCOlnQ9oAk28Nct
iFLQLkFcMKfX5bc0ntRAW6IYboy4Hm9FUX1D8P694EDvzO2xLdy3hKrkPDMD3ldaY28bam0Wn+U3
5o201qMxZutqvh1b+xYrAayNrOn8GtD2XejF3YojQLEC01Kv6cG/0xw/cQqeNgLV+troBdWDqPqn
iNTblW6knFJSoUNegW1SqsI4gK7qLkFz2pu+q9yPDkXGllLWump68hYjsu42AfOJOwuNxcaeoM/a
ypsIylsaFw4KGe7jJXRULQrduZqewjyQF6SkoUdMSe1FmVFeTsStrN10aHcDkYYXaelw7DHaFhcy
eZo7rDzzWYazsw1di+ahBcNUMVyhVOHTVqkTrZ2ZSYGhkeKeejXS/8AtV5Xq7Z3Zo8xHhWd9r5B4
1Hx3qYigANGb6x2IYaJxnwAEzGvmYNURDf1wqddTcVlko0Qv7xXfR6wb0FKJmKKe1m95yJFcAGkL
VtlYC6iM9JkfiBh3zSWdt9qkxdTDHrIjeYJDyYE3iqW1TQbgIFPAIXTy8gdrrOtNpeKdltH/5o3Y
Q7VxfTYM53kotBuaZScFVDcIknU0xMWCTqGbhBQpeW5CYCN5JpN1orpuW5YozIIm8whhMMGtWg1K
qtbref47vEP0yONdVzj6uXWzTaoDx4lCD6FcMFDPu8c+oZNMj5jJkGUfkpnDFs7eu2IepoNTsnfD
SLS7u0gT8cIxek/hFuzHMjT8gFwTXE83iSU4eyaEosySQjludXvbIdzaWfRmd5bDCu5Ao0c5xay8
z+eB4LbuJhrchwR+KUR9fgEdl0o9VwnLxioM8sTZD4JOG04lzBId3F6Co3ed3i6UtkC9EGXh3Ooi
Gw789nUmh30wYPlKWfWz+B7v+4l6krl8OwIrCvMNsAh95TATAF/eRsdG05NLUkDsCzchpiDgL39y
cs/61loJgoJaphfsEvuiC6o7ko2bnaqJXKatPYzQ8aKieuZAS2a7UN21m6vqUGpu9wHpTFtx5y7b
oAINl+bFtnVApLhz6922uCpQazAN1fvn3qTJmOSHfkzmk5GHV2UTmWyzWUGjrMBE4dVxSfZEwqJK
NQAbv16O1u3RItMhn5gImFFnrOzE2pVZsoOGC+uiTix68yluGWPuLhoKfLqlFTM42jJ814fRKs/Z
wsTmXcxas7mzwrE+VmQRTBY9C1cFsLRTSXqtYx6crpHFbhgReUDmHbvXmW3oIyHMwK/ox54NUmmw
lDJCYHsjL+iepk53n+qepWHiSXPCRLO4vsF82vmqgmtI/GnkO11OYHNsKv2RpWdxGQXTrq2LliKW
6aFuQheZF3xzv8R4UxSJOy2NJnDyas53ImSq4ltRe08oLpt0La+l5vTVKpfao4qJGapKjiihXn3g
a53uqxzyO2AQse3tjN3bsnLvBoLj4+QO57Kg2iBX9gSQYksiA7HJVv9MLfbQzOgkrSK1bgzHK7do
VNWWbc+7KujV4sbVM/c5ocuxKjlWhE76lkT2zirD/dzGhy5292M39v4IfyP0ZzsPc54sQlZCeN8Z
zawyccqtodd7WL9ngj5uUz16Y0N7HJvhvXXsHQxY51SFYb0NDZv43ARFr4N3k32XU1gQEQAkXD8R
s7rCtrDkwSHqt5RdnxCEbjPYQxEBJm675Jv3J+zGyKGrGvq0BlHGT9D03LP8yqOaW/Tg3aDZgEG8
4sIwOHXa0YkBZXzQaBD78TBae/i1+g2nOHVXJhmql2F0zoZcMt+SdzvkAJtPdk+PlY5lnfVXImlL
rOR4hloHq5jTmmRJU6leBma8BBYZ0x4Ll74uG+2VeWe1V3WWHUGAsEUvadBYQxsa2WLyyzlyju0Y
MGHX7PpSuoO5r8oRSG5AGL02kT2eTO4jUnXpmwNEwVWqNLpaUDNvGwgT115gkGKVlK8yK3i9XlMh
FCZbfnLFBaw/RU5891zDoCR7xvFjE6G2yusdA4iEDEFDe3Lo6zwX+ahtYoJ5Hgq78XOxUDsxZBN9
wVv3MWkBxtTYEDc0r8L1BAgGhhBdj0tRpxleE7h/CAz35B8J3tQ8PAahVp1dySZFig0S6qJ/whRQ
H51YEg4ZlyAJHebZq0bUGgsPIBikru3WCOqGewfzWKTyYM2IVNsCyPPWM82lXTX0wUOhovoGa6X0
64gUGauprJOISSvkDDbelmZWPDX4yzFcj+AkHUfdwnPWV0PcZe9lbtBBiUXx6TFv300MgYmk5gQN
6s0+IlTBED9rRf4am3F0JB6b9FYD6OCBaUJ8F4ac8gAq1fFjS3OdpbZi/N7/H/bObLltJc3Wr9Iv
gB3IxHx5SIKzqNGS7BuEbMuYh8SQGJ7+fHBVd+y9+3R19PXpq6qoskyZBDP/Ya1vRfFNFKZ5YJpk
3oQ3873WsYVSsetO0UImpelV8bfKZqNKuIXcjcZY/mRXEtwMv3FeZyFgA/cj60xMHF+DTsVPOWu3
55oh9nn0fcWVJ1LNWw/3B95UykyUDLKuWy/XKnnsMnuPKzChYOu61yGJgM9303jzLDBm7qiqm931
3aU0HS9couhzrMBYgthM3H1VzJRukxXt88X1v4qphYEHwOFpXNwunHqhLnGXudSfLrKa3nG+0bKq
cGHM+Nn0pLoFNIAnMhnrezdO05sWSXp0mLFte7tS59oKTG4NO9jjWAHWI9OH3BgrWGdU5j4WePiK
grG7DLKbXNp7lpdyjX5AwO315dlfiM9BARLgKGUP4Yxt/ot/qAqjoPEuuZewIyx6ohUhlP9youVH
jzpj45vMPRtmjzvRsqPmVVbPCZmjZEdElyiJbzrPqRxxiUumTzu2N3rb5U76But/3o1L8bX2WYkQ
/uLdrUSFEpvmvgLqt61lN17WJp9BTPWpxubg+GVwqftgDiNc7LtmVtlrkkgDsQ8hbTs2XjXseJcQ
S4W4YBhaQaYcamclZfUlpoAn6dnUr7HpkGKizGc2H9GeqFF/jA4iV/k5KvVjNro7Lx45XGZKctPc
k7s13+ZoUXuyY6eNNU/3md195/GcmKuVLCeh4wOzbLud6pVHz+3ah3YRFnQxc+W2WzyoRYTup2XG
ORCLviTmLeb8DAtTsjhQfgpAgS2GbgwZ0udFR0jU8ALttH3UTZHu4OCqo+6CJTScrCTRvcvOQoOv
Urr074dltg/sImGPO/Ed2b0mqsHWjM/pNJAiUAC93OGqlnLHXK+L0FPIN6bArHNgT6oCBEhRF/G2
bgyoSrlzTOor0qgRF4YeryVHIRQkY9LPnZNVX1kE8eWxEhH9aKNqMTYRkhP8bYmaTFQq2WPZCuMJ
FkrZl6fW1gTpsB0hH5EP/laXeXXL+kx84wZsgXJDr1+Sll88yxWqkVRM0ESN4H3Ac/uKU98OlaZv
2fTpTH9aVhNxwG0uDm4Z9AcCddyntpry89y7w8lhj4KQyrYPA6SEHy5yHhQQyZB+rUER/pjKcgE2
1vBl1ByevDXBJUJxewIM4h8DOQLFcxlQpnXXo11v7Xd66fFVD2n53KvRvuVsDw6JqGrCfMz23uIz
fZSl5JdhNPgay/GzKTIZ0gml58TU4n4W/LdhisA9WpZmbuCs/EvAYffctiIsbQ3iPEqYis/G1chM
1nzECe09CotNIBTxseRyYCwhZJIyPeNrazaB9+wVkwEOWpIHQ3DEnUn0POBYNjSxw4ml4/RIgFZ+
Dlqr3QZ9/TK5+UfbjHfLnBok36Y/89zOTp5qQU1gBEYsppqNNb11ND8EMaBtEPPdEMzfalUZ5xQt
8eP/74pPS2LI+1cTzZePMi3+7fbxc/jzVPOfP/aPqaZv/mE5tBG+xAQGqNxibvhPyaf7B+NJGbiu
xZAS/xov9e+ST+sPOzCRfJqYRj2Jpv4/JJ/+HwwiJT9l27jeOPvd/9FY82/CS7wSEt+EJR1eDQbe
35TZLeFAA87uNuTux/fNSjE31LfSRv3XAibCn3C2u2k5Dh0r8j+9Uw//mJz+WW3q/s2t6xFOiJUC
/BzvCdl6/EP/OlGdDGFmI1iaUBTGcox6kMNGn8zbduqmzTrjIaM+k6j+dHIYGjOFPSvMH9UcsP9v
JrDpSW+j+g6AWd60w0HCctG5VO0CAM/Bpa5akAFp24GcSTsKipZw6WOErGMmMoSgxrbxHnVgOvld
s/IfFf4/K2FRgg+Jv9Bb6gZ04yju7ZrShBVwdxcDm0zRYDLwcEBwrAlehGkTZ3Tz7MV4oVRnid+U
1vKIpkhepd8ZLx7qCsapdXA/WjB2V30vOF2zOqSGMX/JUiRmrDyLjWD1sUkKdzjQ8ziXINfBYU1Y
OS0oYdcZpWEQQMEiLD/anpJXz1Fut2uNdGCsSkSJdVERcRUHbA84nVJ0Y0w8iDGsqSy+MZcCIJnL
Rj5ZAcv6bcdJywVs8K6xnT7O4KKuPTOS45irpHxkgKvJGJrNr5XddQhnkWjOW3Op+FHO1PF9jOMk
R941ls+V1b0NynCAljCPDWR/8Sv7EpBtckTs2R116xPXoIxv7mAGdyYiCZdID9iVxdANErJkRvaD
m1kTVt5ymm4D5FQ+rDyH7jGB1YZleJCEhA3bTPn1taL8OzEPLo+WTsaXGJkmJBEwT+gqln3X+Ua4
DHzcncjNDxbZiHKrpotIbiynQ24E9yUYn2uQo2/MyZW6s5Dr17h9KliaDEY9o/OPoqf7CvjmoIPp
B3Gd0zFpWPGX4LazMWqY1NHfFG25EOHY2KfYg5LB4JRUShvzMcnp3RvbX//Ny3PzrskanunYufgC
qX23Pudw4cmwZ9FxZ81t8KLBzW+Scuh3pIl0oWVi1WDK0KBOU8m04RPsXjxmqcHGIX7lGT9uIHZ6
9RIDJQoM2mXSTMXAxDwdv2X+YIl94zI15C02K7XLO7J5wkSMDiaPZUH0Z43S1nvA78vNrzzre2VH
PZKZCjmNB4L/MFc0caMVeZ8LzPlnb+yCL33fgSqdk8H4lqVyuqIstl8sRoBwt+pJefAIic8NUdli
94q0E417YRg0SYGDd2MkCDDeTDm45hMg0/F7M0/MVTX1yzVrRSu+QdmcyTF15m2AloJwusXNvndT
WzyMZUaxSQz6S5dK5whm/NRVqXMknePX0htUpe00EjZlWb9iJLA/Uxj3xzl20jsSj5PT0qJfF1ED
XTdWlmZKTEyu6aQNX+pJ9F/cUQY/ssiKTkbtLjvDKYxtBdMQrmZXOrBoVaZ26My7u4XUqBCoaPuG
w4o6bxgFPfDifESLrvbDWKe/Vt5BSHdQPVUslOk/AvFRoo14EMMCdCCJeAsnv/tCPnt9KDSq5h7P
9XuSOeqVhar1BReNfUq6cVUzz8iOnVwTsDIM+Xhouo4YibwqUHuz3xTtj4J8pviSWG1MGZUVvv1F
0hci4OQn39slOkTZnPyKIsv1jvZsDksoiJBcjmArFwLi0gyrq1tjwU2QqATOUvo7sD6UfLGpqniD
9AWENZUb9u9Mpx88adO8qdDTcSB5QWrujJTTmNAB2oWE+Wi29zBDVjtrJZcPnvKCa9/M5XmxZgHq
ys5xvvi4eE4Rrcw3x3CCBwQ4GpaYF711FgmJu8zQo7HDTJMaIXNDvjaAX6OPBJmfhxgmGC/AYEck
j1XvnZAvYXNTRGY+Ctq9biuInA2jGHlwlU3NrWfCKc9ECgWhNqB4Qb6Wuznmjal0YTxXg9V8Mv7W
DI/rJBw9iXzMHAZ6aob1MFzcuazeefiZsTONpIpFVhJYhzzqEWANjgIcq0bEHdvSU32HAk7h6LPH
RnydIADtdJ/kYgXVVsioB9V/NSpm76TRN/YbK3TzXaUEXZpqkT/SoZdby16wsfVLuyfwsLsfJzf4
2VlLfWPOHGQMSHsTOADbIpBjy8p0jyf2cPyx9EKPstTbuPGsF8bdINpHmy/9prZ7dZyzll+AGI58
nUkuI82eAHVPyGhWGpu8yxs2ObDlzQ2G17Q4kIlQwY6OnYHEbtdapr3/WxnP/gOVPPKIbgcbpH7l
6olI9MxQe27rVVwPf2255FToez4ydh2rCN/OcUwxvePCi1HfbMxVrk+CL2K6IrGMHh9DWT0oQkS2
ziryp13xmPEi/O8IAE0oiT3rPqO2v7EyYY+Em/mK+GTkNCUOpAzUiLB6YHHkMfGutoyhSboMVuMB
rDc8CONvPwKzKHP9ojMMhE4tw9gM/J8ZJvt4O8wpjgbiCrpfLemR98tvxwMTf2Pf/fZBkLCSvFPW
2ztAhf2jkcNPhofzkKw+CmJY41fR462oV5dF1Jooe5pEEi+0ujCS1Y/RJXFy33mrSUOufg0yYfQP
vXo4kt92DomelaCuhEBRWIiWubFsxqD+kgCoqEJyqriQB0U8oFljFfFk8qJX94hGT+dhUVD5Tf52
lxCVdLN/W05GtiRPU4/Qc0YscYFiwbwBj4oGpA8omlTYFdlNTbZPV0cLBewPWxvObsTskq+ul3L1
v9hZw+vxg+5eR6V3ZlSPUyZ35bZsmmQPc3cEjJxV/gN51bQ0bkeG8C7/bbthVVRfahrOd245Wsua
h4o6iELoV7n6dubfFh5/dfO4MsPYg6Yfk8+o+YVOMikZS0hQ8pu0G9pP9EjINGw/7X8Mv8Ub5W8h
h141Hcz6oBb+FnoolL+IPn4LQArtMCsO2ICNp3VPv6YVL1RreTlUz7Y9q0s398uwRcDW+ZR8Dvdh
M6TDW88c8o1VPprD2F+QBVKquBs6UafcmL5vp2GmTPfH0uTeo018w6vAuhSjAUrzlTgOu6iXVF9h
25n1FxWXHYE3o+b7VM5B8KC6ZrnlZquPbeXZL5kRBWjbZXYP6Np/n5icm9tJDAVqeJ8t7ymaUpsG
kkhiPjwO8Ga7Gh7SDVm47WeQM2GDuSlLZHkg256RQqAXpWKX9hYOpukczalur4MRJF04x3V9TbKy
+dUjtOOIz8Sk18/F5lztyJvdIsrgEGOU63TXVo3FeF+VNtjRNjZggSE41AuQdWMmQxHpTbXLSDMg
4GReeIOyPEiZbVAQO3sHDvqzbiOi7omgxhaVaSn1OXCV9veItCg66iI4D9orfMoec6ICdsE+itnO
zw2rjI5qTfoQhkf55iWm+8aXOtNnYTNaK5E0XxcOnZwjPfe+zE2kqwvdMBs7iC0KifgEhmPHaKyl
ZCUI8EKGNTkBuPcnMroX2JaeSRmF7LHqEJfTOWiA0y5Laj6ToD0ncxS9FYXOXrGgkhG3EADqnxwQ
a6eihnnMZMP4NEUWnfNIuDV+TqM6zdPIUVz7SfZujQiG6RKM/o1PG6yXWMgOXEqrP+FzowXpCnmB
+UAf70T9FcpEwTY6YnfCmo3PiV9i2E6uPd0a7RTJzkuQL+OXwImyIwrWeSEdR5E6/K/7MfF3ngpd
ZgCNAo8DnSrYH9rRPwtcSLomnTy1+zASZnGq+/h7lVbPSjTvVlA+kzHCxeoxn6PI/Naxx/nH+OC/
5KT83QO4vjyWKR8xAqoX3I5/ffk86mSZjwbReFGHu3lpqitvfnH51//K/4S4WV9m9V7is+R1QEr+
9WXg7Wo5LvYQatTJDJkH2LaeYRn+0U5YSm5zDTcWbgGRoxXXk0Seg9R2I3QxvhMe45xmoxqublP2
TznL7Lv1LcOdZkoCadhLSkmjkOYu0KSBe7F/AKZVR/+AMfyvwuy/Q5j9Rk6vBvv/WmS2+yyS9M/T
GPEfP/RPmZkHjZpnDE++a1rrf/5pIMNz/5shtj4hv925/xzISB8FmgfvDPu6QJm2Yqr+XWeGPRfJ
WsAkxlpN1cxq/ua5/Zce3PVb9heZmU//CsgAVCUiMxLs/vp8ppWDWSOQpCK1FGNUl6p/YRUyvie6
1/fWNL6gSTaewE93OeMCOpnZDqjUGxHnO2fMcLHkrf5oVZ2eMOoNIdlCDspXnG3CRgOQFqnzOLnm
9MRfj3ErG5sHxhrFZ4bgaxw6CqYlMEKV0TO5tV0/gIyNXsgkxiGuRPdm1Xb5wbIfR7BEj9JFef6w
Tmhz0sEuhcDUgYt1fLUyGm8zQzEaJwGQGZJ5sbUE75NBvIEYsUJVuUJaYhjschHRbCYpU46WBt3n
rJ7N0krCpAOzyoUSQC7F1DdQXT/bpW2EXZyxJMV2Sj4XAU5plCs2/sH4JvF/HTsZFb+CiPNDW3Hy
3XeR3/hz13+nrO/IUJJEwYOUAfviYoS3NYpqHIlMozZ4TcS3PGME5doOjYDyg+sopnHeyoUwinUJ
OH2zyoxMN1QFZLopW5tfa+FR1Uakd238WCBbarVz5/Satdfs5Wj+jKK7JErAqLEQCRFkHWAL/cfp
/b9Hwn93JKCK+FfHwf+pfibtx789tB8/P7vkL+fC75/855DW/mOdRAJMcdhP/m1I65G0bvG9t3yo
Tetp8e9D2uAPOIM+tEFwMP46vf3niSDkH+56IBBi57h0Tf8jpuF/upbXlxA48jH5Y9BnpvPXA8El
RVWLIev37cAj/5zgw31ZPKNqdg4g23sbKDCGC1Er1mtTvbfNPgPfFju7P71t/49xrZTeSor689HE
r8HwIeAYtPhq+L9/0z8Tmhzt4uUJZFgzC3nNfcqRyA2ik45L+TLkaXCd8IouAPLLqJ5QWAxMaDhL
mGw6R/6ndG8Ieqc6T8pvwGhAg+OQYgyIZWpXYv17MPs5Oi0S/xSl8nBLMsKriCZyiPZRhnxMuhaD
Cf3fyU/QDBrKWIi7i4soNNp83CEDhutPj0ls08BlLW2PIBGXHOnMn4mHGXJshoEkhzjjz8+bkeHP
qY3c6aNmKsB1bd/IqTOOtJEruLbrrQ/TMYs7B4dwi2amGIAGmopSsyf6cZ6+W0DNfhK657wEPASH
erb0mVDz7gE0GeOBjOYOX8pYf+89vzsNrm7vE7sXZ7MWkg2WP+xBMfYPsWuhlK9IDiIk5lzUzXFi
ibop8Rx94Wwv1CYjfXlrZ8J9F8DOtjVa5y/JyFZ/aHLrhEmb5Z+25FUlsbHnj5gg+ImXr8ekPSL7
CK6xYY0njYJ6R0W7r+YYOgrL88vcG+ltwGAQNqNqQm9QkpRmVVn72RudMOrtOWT91L84ioF5kK7i
XSaSz0U1OgBK/CiEYL4GGpnkEzOo4J+mABljuSuB/9/F5I6+DONkvBEQovc4XaKjtGnq2lqmIZKB
bGstSFlUmfkh7N7qkSxs7FuRawx3Y1O25zS27B2K0D27+Ds7UUe/Mi6+YuseTwZdqendexYHNiao
WGzJDUXxXEHrclqHKQthcrkFtwt1ICz3ZF49sYAmoyXfdtwgnds94LhzmUMwlcOdCvulbFPmysRK
NX2rbg388Xf4yz1Gmr6GNxD/jggyvnsLl5evq/lWOoFmg8/zlPJY7W02JWFjdfjeuEt/xm0fHEY8
b2+LNGS1Ib9nvgNFs84+avFoTpZ4IJd1ujcbdIWq0RPXL/YOxIT3QBbbdSi8HBqwAo9F4biHorCX
R7uPMnBS6CBLyyVLyF2QBMxpxe5SxiE51U5YDZl7ShRtoJOoeIdpnAgf3CzHemya14JJKZ8mFtqq
yJOwCspfFgkv9KlB+QJ9A2UMqtkdf0e9HRLlHjUIiuuUTPaJvYd/qKpYhhaLmBphk7fqf4MgbGPT
305T1Owg5qXHlt1CmGPZnQ6eU+NYy/3W2Q+Woz2OCJfvWkcyBIGYnrWpypnt91BY53nVSg7gcO7T
zrCe9DRuzaq7Tc2yHAKkN2S12vNhtXVwcbviLvaT+4BDJpQ+zAjGVYi3JoaX1XDRwkp/zKjlfpUx
2IigAJMugiVa2XLm/eJZ6j3m1D9aQ+GeW62buwpj02mptLM3IDndd/zaWzU40VNc2daHbPz07GbU
G2i2hh8tGJEnTmYf52zdfpNqyLaCVM8tqAJ8uk3KFBEzVwxw3Lcd1D5OqwBEDMN8cBZVQhaliMEY
2eDSiRL8O04HCORWaXNE40De190wQltNWiPbk7RpoXL2GZlFSLa2omo9HF3KtIqtj8W1h3yEvIGo
slfLNqJ73ANkPUokaWSrEQfKLB3JkvO1FP5A+EVNSy/Nrn3tFGF2uYjiexec+JnLT99FVjLvOdPm
A+1mdR7nMvkKQVGTkhCTZl4maxj4ZAX5fmnGKt5Cp5kssPK5c/ZsO7JDqwk+55wU1lNTVSoch746
+0XnvNtpwIZnTc4AikCmDyAOF5Cex9qLfJjmV8qEqAFJQnIFyZmr8X/p36mFh2Pj1vdVYrwhd+uO
1YpQYrCHZ6lK2f2Tohawa3dhUhDNa38tvNwNEA7F9btdtsUpyGZewBwZFo+pTwRGWZ0Yz40FBWzE
RK6HTvIgklGLA7MinNAuSSXBtSkjkX+6RPYNTyIr7WfYlRZMrsZoPlDQTx9RJKvXukiMO8jp0DQj
RgN8hVperQxw5jYkTxhcUpH9Gmv9DqXduBBuNUUXcu5bJmHIg9CJYy83U2sko3d9/uOmBZUx+esc
viJFY0pn95eYpfPEVdj5p9HLiuyxxxmxynnS56FVlAQC7s3OEko6N81A9BdDJ8tES+y5b5WarB8z
mrlT3zTOYSaZ+oKOwP9krAq0L5ImkSjABq5RZpPeYdBvPMvEce8qtMfs5siV0kLZzJQM5T7lkau+
MhJSTzanNYxSNGuwgTXQnFg6+yZPCGAJbH+6Q+hhHW0UDqHXUbuMduShHxw9MrnMwr/vRORlZ50/
GYH2L5nMkBLbeUzmTR0xwQtMZb6BmEm/jg4FO+kY6cKCo4h7K0xrssZchCnVfbaorA77tMKG3JGx
FhbCaPHGwp55hIhec9wa8WMyOuN70TbiCzEW1nPdC9jQRDbspTXV91FhxF8qVkInqhpoB67mr6DW
GjOYdVAaiikdDwro40V4CGuo0oxHB5LoQcBD3FbjUn96K+nE16xztzKO9BcUU0Sa5NBIwHFU+XRb
Ra59uCwzZIUl0YyF45IYu0ys4s84PkVdPX0n1W3ckceZvMWy7O6w6JZbjMSkerOO35K6ILeL5v4s
M7U1gsk/JaA17oceMlGrgq7ZWmZpUIv5h2kii4NDFb92t80B+kxkAcCdYJY5DvLIHHoZz12dJWfK
GbiFUpDmRdngvtikg08gNbnfDwEuoYdckV46zrAgyPB2CcFEffLET+2dDEV6O6y9UelUO5cUuAux
bnOY1Jjed1XXdu8Nu3aQKc58Epns91HOsJ2A0WBfKQf5M6HRh6he4nu9ECvR2zyjdtL6V9cg7iWN
IRuk9qaxP4llmdrqHTH0B6TkTWblZ+m9twhO5bbQeKDsyei+U1/W+x4sx7RDTqTfjGRWD0ULwsTK
oyLfFbbr3/B4usuBMSqC4i4PDr5BXnGcBwUdoQMuNo7dg2Om/g5qm1a3OuWw9Z0B5/dQNuGE0nN+
6CZT1ueard+dG5Qak1BitBsNWemS5kH+gryStJpVy+iQbEpYiZM9aKIluzBr6vlTy7LwtnE9Zm9+
j2a7QvqV7oKs86xtBrQAeriw0ADX5RqVPlWdmUUbR9NW1hpO9MnvoFXQgY7dluRJXMbTCPyhbpu9
SyzitfIG84aqQmH2HfLXqU4sedaxZqM24k0+BoTpFEfYK9WVAQiCaLHaOZmbbl0tjKO2tPg+dLH1
YI+yo67uZvOZ0yZxeHCHoQGiwL6t7aOw1JE+53FwJQVqT5xkEVL0NIcY0/p1dFAfyoGhK7umHqeG
2xtnP4MiAeT6XpFjgiV/kcXnUHkx+wbf4fbvCW9sJ5vuYcCwgUrOrO68AldKhwb4FflH8MAFp1CR
jqgLAqPfw7Ae9vYEtyWb6uiXU7i4FoTl3U+YTymgPQIbMGAJTtHGeDXchTNknkik3QZNZR7ypuxC
r3DU0zK6uImnXlq3lvTGbRos04eTIQSbOcUPMsYSUPYOZZkg9n0ous/WhsnisiTdeY5ouDljgnCd
hWxrMd6ilqIgHa2LxScUZnPuhZqMwC+N9OzQ5aLZFI3KwjKNPPJFiuRVDO1NSeI4OlI2DwUKSTI3
aG6urRPnFxfCCweJLIZjTY+xC+JEnkzbmR/tySm2dlFdEPp9cWX5iav7vtc+IbwkS26R6JswEyr0
IanPzZR129oDDeWKfrkH11qyg2qH+5rqC4pDFF+TJU+Orh+PZ098z8d80/e9jfE7R4Q2zUfLsBN6
qWXczQiL94ILKd7oeIZrwG7/CGps3iIj3NQJKaUOY3T32rKdzpfUvYu9WFwqnzVdnmEz2i6N0+wK
oZFyTyVmaxWLTafHVa5PEV3FNZIZgCmmytNd4uv8MZ6paKM2ti9+P9iPtij9szYbWAIC77hnoDGJ
+LZfhtmbqo1VtxA7+oo4jaFwtt7Mo2EgJdhhujhGhesSo5ie/bw/mMm4E8ShmORzl3rejpUDQkYE
KapRkW1biTmzRT61m13ups1S18MJl6TYZ0ZmbWIWdQBOc6gpqJCOWM+OyqSGWGyNCUxiK4vdrFgV
zJx/eI9fkSHUWEvK2QjrDn84ufbBu+k0KD2jWZDoQskeqLg4N9NCoJEh4rvCcOzQGQN9XFBLfPOZ
bb+53tI8UQFnJ4Ay+jWvovqEC814EnpgFreonLPSwYRqVy0mFvJg75JSYYunaPshhKCFFg2zOszV
P61EOeR/99dJZZeujJzdbEbfTcwp5CYBs8gBlKXGi8oG48LIDxrUCKDFYB1/muQQ3AEWCZ79KOt3
VayybS0oYLVXWWEHE3zneM3VJCQFHl29c80I4JZNF2mWT5mecuqEqv0QLiin0rCirU2Lf0IHcJzy
xTibFrIVmFX9rQ/67uwF+ZMDFMjxYW9Iu73V8k2Z092AEHqxAIX07tc8YWk1mgID5fTsB9k+Nkrs
ou0xysV6LQEbi0Stt5SGKNyD95LwPhwBHy2DjW3RArSK/Sp5yqahPAY9LnSumepq56PkOW7rU+Dn
F99JynM82cvFbRMj9By/OJa5f4BwVwNeSQrkZVV6GvsiPlh6eF51NUwgK/j9mPR3izYUqGbK8BMZ
OdDpkzL/YckMee7gYX4CDuKiwuCMlKaBapfkWKcvkMYHZbSvcy+6TAXociOIu2Mg6PQ3lcq8axqz
c/Ynb7d0vj61RQ6RwTuJIbmIUh4Xq0ToLlLnSwPj8WqiEvuSZjZbpFb3QehIYo0POSti0gQBfAxb
PxucPTaV5tUYg4J9Py3K4hpUYUvQXBIE18+NVz7kjknYC74wX7thIrNzX6rPamJ9jYzcwGHjm1XI
AX82G7wGGBL3jJiaE+LjaKusKd/JvCXUXOIIdj1p/rD498GuG5DYedVkv2MHVidgfv7DBJJtHyHA
3bEf23TEOoeQ1Mjx0j2mNLaHuajfLfBMT9g8sNzIKZgx+jqQ2XzDbfc94MnDmFb1ZoTwejJzgGie
HoNwNAyUSU1LtGJlEx3SuOMVh5PP+LhG8Qd/cRGfNnYXcpC8M07Yycx3eEgekEqcyj79Dorwc45b
dthmU1OIS4VyGvqHOnaMg/dcm8Z2dIppl0nDxGpWjrch10i4WdIfubmOuXCOAhcOkg3kCuiy6cOP
vl/zhSKakNv20x3ZL1VOcCBBbM1Wvzio6/HHzsTH6a+DHFkmTjBZTorr4LkV5nyzouTrYKEHb2vj
1UpJhyuzqf8wHKs58v8zf6ds8WggTpaiG6NEMZ7BX93Vlto1GRIgDz7cVSHJ2WSOfOcAjxFIK+fV
skqxM9Dj7PxZvMLvC3AY+WBv2mRPDb1tG/Tmdf85mAzoNVfzhqwn0BSDDw+kdH8huD65SXoqc6y7
Y/mCMZLy0hm3qdLrjsHy9iXgSIYbB6Kf3o3GJ/JpNrBCj5GJWc4u+mea7G5f2OldFun0EIie0MSC
Us9Kk4ekI7G+DuYtZjW9Q7pJvYi2ArO9hFDRweNSabq1U1kwyhP2bZpWPUtBsDLKFfRWlRvKDtVg
W9dkHAt9tvMriJFLM6YpX8fqeciIMtDVOQq64Ig+4eYuwdTuumEIdkMtypdY1dN7UGFrxwq3KWg4
NmUzHV1VTIe+QbIVFtNcn8DZDXtM7eJE0ps85h2cRbXo+Fuci3bLN5Q9S/disZgfHyQB30L99Jhz
vQA6qk+C0veUMBlaBXdXwy1oqOEP7s3JY5Upi4zeZLiPS8Ytw1A3rxa+ymOezUO8wfhvhaJBElH1
usVZN2P985iY0TZEe4Sv7vOSjOk2Mkkzq5GvMsuUrjq5LtHzrUG6RxVMVwPi5ma1rvBBmfGhwakc
etIjqEo1VvpFO5N94zkL5TBfgVV21yzCXgbJkKnXacmkH/Kz3XvX2cYJ3kIKrwZ8Aq/p/WiWCNlo
MD6TF/Zcyjo5YDJuDm3Q5K8GutKdgpkDxIrfKzUJJmNvA5/WGMKYe546WSOIT2ybKrx5guPPxoU6
YV48wr9NQ1UntBvNVo3jV6eG+T9zip8wP9l3+DbyXayR2EIOyRsFd4TP7DhOlg9AulmxU57beDi8
+XOg/AgkqBImVMr56THqwn5P+FblZtNj1sUKd9Y6Dw9Mb2SSOu1zKeO3fHHyK5BLXMMW+o6wSzOI
cEbUQRVDt5UdxjzJvyEy7Q94VJ19TaVJQZUPu5IkRmhUkBE3rddIg3MB8B0hkR6xadqdL/DbjNdI
otjJGlqPsDOEeAkcB9ew9POczIS6zK5TR0nmEVd91KOAx0ROHk9nVRJJitjPw/CEmCyKMabwI4TQ
YsW70svL1zQonJPoXfWrSxpKx8jurmNLw1QZlvko8ajcG25tHVTSZgfVgcBAT6JEGKcDNy9bdedq
6n7XUvxZLDjbTcaU4grISBINTqhhMUv5wsFf3ZNpkBx0rGC7mmAVDjIrLbWfzFI6pAzA26H5b7j6
cHHONkaSFVrFJKyeZfLhu5wX0NXG/IsU/5e981qSG8my7Q9dtEE44I7HG1qkihRM8QIjM0koh9b+
9XdF9Yx1CbvV1s8zVmb1UCwymBEBwM8+e6+tyDvg65UEyh+yBqiaM4ufERSTH7bnVMnGBd3xFem0
eOYY8p6FPiDUvL24Q/cMuGbcjFfBi6rCQ2+Wepdzdj7Ps83X1Uf4UkE5HmDilN9h3ciDqomT1VS5
bceK1WmMPLiJIQY+2MM4r9kj9NTESoVslrs9l5ZAoAsIVRaV3FVpVt+p3INX2Mxy3yf9y7jgb7fd
9jV1GtpLKHPc5y5wXINz+HGxuuZDxArwph3Jae/5A224g6AzrvYZbOLoOUnC8EgXF8edoVoFaqAd
Nsu44c0ZRXDyV8rxn3Lhot8QD7O5E8xQpkZYXM+OLniYdIYq86F3SirqoodBmoeA3sFLgtGZcLOu
d1XvfpaJ4suI1f52Ljgbw+z0zuDTrO8AM+NtVIUfIUyJQ1BfMcm+EhAQNIew0KstVkQ6O86j6xx4
6jIauycgQ+VLph3/znX4+pXSik/DrKwDg9205fB+6VPYljOLqZ1s+huHg3qn+nHvGVTJLb0U3TEn
h3M3LnOIiCGekxoWVpkXrFfaHJivFdAR75IWLuke9DR1fI53b5nGvnGkbVYq8slfKVJuTp6HKENB
fu7L+dFxQeKD7AK5Mk0w2qPwaZl7cU4oore5iHDHT7t2lCFhP/1MfvoOZ5lNnxBdIrObEeY2OQib
tT8Y+xCUbb9jm84yqUIaFds+HLknTzKvzmFFqTQqQAuvapmwkDgBN2SHNOoLLu/gq/IlqmWVhGsO
FoaP1++OFV/DzaLqCnSXyXGmc1u87ZMuemiNMdcIlbpVYa/XMKVf/Di4BB32zEGE34MMntkc3yjU
7r3wITLRrX4JORed0wRkLN2jadF+o5DzzR9JR9Ud8M+mkgTHLxGZjI1hwfLUwqJduxa+Qs+u2nND
q81mjIPkm4+r75C3E0eauQMV1ipS6/RoNkmNA1YBWi5I9MfDZWbXdAtsNTtlXGvfizkiuaol+3tQ
42gv2GybdVz6N87gshdrBMkoBUY2HoUi8t4egZnD9Be+SfeEvzkNppwWqDZceJwUALjWti9sJMeg
3HtNEfIxqsL9ZtMHcT0A1f5Rzbr8QSyVREQ9uNUNfyg9lWp56RUSlbbcXcX97TZcdCbX1jhbnwZe
75bnITjdCftyXJfkY0IAYG9+2lrPzP3eDegT/9tcaso60dix6A9Jd899AXdTTMr8I5jD8TORPXMd
okE4shTKc9+cOwrJctRbMXzzqa27H62Zy5gE30gZWzYld5HB67cyfcoxU5OXftZO0B2TucIvUrT2
CJ5X+i9D4iTlXkt0qjKm9AAlU1B6w+pN38e+snAj6Dmk6SAuKJCQKhXAfKDcvQx6ao+sozjGlYOb
7pioxQGea0pArqrdqwG1AP6YT+NbJsvPpKBCul9gaQ3CGuHeVBldbe6n5sDHws0gWK2sDEmkG2x1
Ht0+5U5R8c9mqMvudgmqhCOl7b8RFryyCbgNdLcWILIfHkZHucbOUeHMHP2vjAP5zgDIPqooDm7Z
shIWuQJv/JGdcBtM9KWl2r8M2LG42mXMF6WRfHpDEngHy4pa9k+YOzKa765KF0XunTf+5N0ZdiWQ
xbV0svRgz+1jMAvWkDpywIcLn9r2KNO3vRXMTyhrya7BC2IM0aE1psICp3QeBCmXXzbCFA/oFpNO
5P+AKNiPW6Ht5tRZunhxofJt8LgVB5KV3j2o57xby0iRUKQlfu1hohxGARP8yiyx2zndsVHcNxNf
4Nio7yVVuDtFoB1mnSA+bIXDsXIr9x6Q/fewQ9Gjn9fVq2Ea30XdwxiCmrbNhXkYklFv3LoIV4Dn
BpKdLgaXvjCbBo5GSjoEsp3nVndsBAE8D43zEtfXTtO83Yew9L6VIxzMOa6gtmbDBAjOwTCq25NX
+kwd0rQHpsBk13lW9EhOi3v9EHzMEVGuLd7gZmuHY3ub0QqwnZHAHkUe5Zq2DF88s2wyuySByE1i
It1huZ7fo975qQ2iQw7y875s2+JbmfLswEtMC1QYppdhwoJP+kUX6zZsknTFFiUwa8xGIQVX0cjU
Af70ORns/lG6LHy2LjitcV24dnr2w4UjQQz1cRN7PJN93OaR8eanecmdQ+oP4x7AIAMa0D82iMdF
VKxOvVFur09qyeCxlSFWnhpDANVijf1tpjNyNQ8kv0Q/6uti1tlk6TRSIlY/M5lxSulFu1dV7d1m
ACZ3xUL2d8ndD/Zv0ZmDSHajOU2ui4aBZkmL4Oxjr4Y9nOntwu7vVgN0epUWKJfYnmDZe8uh63t5
wLffnmvjpLt86OzHZHLHPUsGZE6g/HRjcWrBGFVO0VMyzgF8h4YfJWMpSGeBOLOadh54VwXnA7HU
t040QHC1cGOtKiNB/iS1MjelmeWvZSkLvWf7wgzI1m0+TW0IMxky0iZHS32OMVTee0P9YMVmU6Lm
3TZzHxyFlhnWqMCvCMTHiHGN7Rv+h3Yc6Dtz8nVoql+UR1OwPQWsVGTlDV8a68Cut3R08OjbhkfS
1e7e4aBwFvZ80MVCA8eIjWcbjtYkV7FfAj4r0g9gUtl+RkTg0cVefRUXDmPbDMQz695skSX7BOQu
TG4SMO1KINMh7rC/szfE66xhZbwh2E55wEqxdcAYmzkAa1AO7/3iLQ/ZwvOxbiS824TBoPWqM8Dk
jtqwwOdhw86c83+zJOlj36gGuTjrKCCOuUP3FTydnETExPe38JcXR/v5l7GK9LkLW/nFBi688Qdi
/MOVysK8jb1buVNbci90NMkxq3qzWMjeV07TgtgpHb4VjrWxMVt/TGHWL8CCxpweMpgMWPCC5BMN
lMnDbbz72LW9LcagjOK9srhn8T8fq6QM61U3C/scF2R45qxnwWTBBCh76x2SefsRJpw31kE12sQ5
JE8b3GzZZ4RYyZiAnX/vkSA54NnBelgNzSvC0HuamB/THGoe40H74tFVeUwb3wCQdtr0zWH+fO0X
m7XOYNvLYWo5pzNrEHSj2RR3ADPLJqbUewsVv7xQCkjlRamCewCycuvWejrAKwcpgNLX75wursSu
rCc8GbimI1KgU29RSkAu6Trg5MgSOyPbCxsvB5ZrBSMgi7v5QPgoZJVhqb3VzO6lEvZ4Iy02r3CP
xCMmD2ttUPoxBs/zg/ZjcXD7Pn6jZ8J7afKe1g0L1wrbHoI4liXGfTdc9XEo7M4dRXPXSti2UCy8
MNKDWthU6RVtQi/EuE3LBaGdmABuYuKKveW4NzCWynVfuph8ShO4dDwomW2CJoCDJbtfmQMIBThD
Q7Qvw87Q5tpsXc95lmj769R2wn3A3XTLfre4sbT74BOr33UBQE/XN/JuwQbKvD/PP0btNbg11aQu
guV3y4hkwjs7dYpHlrThk2uJ+YEFdvDDVUl5tpaAvVppj6eslTRYx7EGK1gl6kksbBkXr3/r0KFp
LyO+Rbx2znc4ado9j1L8Luky3GOzfMR7m99Qe4S5I+y8jZjUN6hNyabLmpSjpJqzlwa/zsNED/28
IhmafQMSxI7AUgZzU3ql3XvmtuULsS7zaPTIUMhjl+T7pJiSk1+kyJGRUqfM9+/qKC82g1co8oFL
eUTLGGHt1QVXxDydnBrjDCRr9M1WymIdqcV+i6jPveWS8F6twHtUbfQS0uX3QJit3MiIKS5vqccq
piunes4uCXvCFDfUQSjJ9ROGy3nJapRXygjv8gqgFRCDo8dx9lLKFN2AIeomXAoY6gxP3m0tw+qA
7vepuvpZ2MsZFsqGk5h/olmEpY1NI/EhAy34RsJA7jpdkAAWonhxBsmNq2cnfSyz8uRUwXBGE8AT
IvyZZKLbfNM5b5Tqon7FmAxzoWVRDZM56K63dBoPGujfO0ossoNrpdg6qgHbjt3UuynvEQDmYSH9
VcfsZRNh6wu36VFfV/LzlidHtWMnaZ9BUf2sWwetp4v9Q5ROSHuaVeQd9y1/jf9rgdxjC7bT8fw8
9vFMtjSaDiGo7kcslnpr0ghJKnTKx4bDxePULwSxkqJ+J2aRgXIc5vE8F8C0kxCYNk0B0bexy8m/
GoZSFOmoybnyTXPPeil8LVO9bOq0QjWAIbTJS2iJfuknx4xG5mORSBdQXgCoqKTVMzQJ4bFw8voH
tIHkExy6PUCrLsXaQ4jE7uAE5yXoxBsM4Zn7melQDYmTQ+Ggwg7wtsa3lbJPwLT92UShOHFQiT8R
CTlDZFcpipqHS8oQXjAIDP5J9W9XKejVjnBlrcLK7t9NFLjfUDfSd/xp5h5tw9vGYURguQ2zn4lF
NT3RPTYHUaWfowx+E2sBxvsSgroHruXJtx17nwyNv3ZVkDyOMevzdS0GfeqTLP9VOd74VPJ4ZTFD
SKcJGx+QNdzDQ9FnYmthez4Nheftmo5nDcNzaT9ovUzvyCzBLSsrvVWVGnK+8qK7Z2MgnoqBAdyq
lvwpr6wfWdeqXdDy/Bx0dEriuWOd47f3cTM73wmIICvmXDPUA5E8EzK1MAa1cGwIOB47uG8r5Jnx
0RjWxbTiDO1Gl7KGu4OQUWfhtK5D1/nlZio649CBg1JbA0TwJRqSh4DDwY5lXHQqKq7DqW2Is82M
+ozOqAVso9zHqeqixywMK+A+nL1KgJ48XTnz+MzSPH69Q1tIyS4tyc9drmcCgYkByVOzeLJ0z86a
Y+2GM3L+Gmb1ghhtRcnbKCSaW6izCdkBfdvgq+EWlVr5TtKxdu7cwHwv6zTYq4TtXdcX3hqqAHu8
jFIEtjvLE2pYf/B9UO+TuWrvtT10vzDXUF9axf6TaRxzpB2RylB3oZqK/NipzqcATYNNDJdqA3+6
mJBPOomusAR41bHlpXwt2WAXwArS/lIYp8cZB558CCO4l6HizBmn1r5kdfPUQRRnYqbYyxaNy1Sl
SIMzVC7ql7ECcKGtKV/yhPcgEB3lNjqojhWA9Ls2G9p7EXX5KXH4+8d0FqLlS6F4y52f3HCs2zHC
Xb8N9LVCydeae9D/wSuWZZmrl11CmsyBu1f99Jsq2s5+pN91vxBWSLEMvwSa/YeP++qBLqPsgxDm
eOd7LF3QaTHD5iO90onIyv/xrBJ8639bTvd/u+578Xv/+z9/wz/972HwD5vebx4JOLsDSTvdf2di
VPgPXPH82QG+XHDd11/570yM/AfMDt8JMcgDY1Me1vj/csC74h8OvJNQ0ZTq+56kSPw/yMQEv/W/
/ct5TiTMtjHnA8x1Qyl4rT954KtETnZidd4hSgwpOXu2Emc7OJGX7e0KoyWXkdEPCjp7gkPLUzQK
xUvPlNpn+DSSXo4dOqUtqaHF/rUrQawDPi/8oULBHaIU77bA+B2249Z1HPFzca4GRYun+En4Gg5m
jJaxFuGYHoOSAliipQ8CGPQlRFW6i1meMlxSYja7YXrs4oidtCuelKi7Ne/gsrdrp4WN6Pa3+Hx2
nYKtJ6Zs6wfeSRbFWtbDsDHtZNZY88qVe70hmVZVO4mAvBH5gNvWx1xRNeEtTDjnbrS6eC9M8gFt
Pz0vLhhEYvMBBkjasSvf++JGSi587D5xgSmcLqla9Z1vaJ2LliM+pP5iwnA65amdfIVNMK714nSn
0um/y5konC3tdgff90qa5jVVGvykU8m565v5ywwshu2ZYmSRWXdBI9npmB/M4UeLJk0Yya9z452Z
jm8ER9l+GU6FcPYpGXjYEo31KSo17aLZ+9K63ncCo3weLIdBLxX0Oo86PMRiBHGz9XOsRnQ9UOHn
ZK868WeIf/ItyOwrMAIAFUyuboIiSkB3G8aN2qjBGs/O1BEdbpxTUVQLhkexxynO0KH7h7ytWUSa
uaP4m8zCAXLdD5AA+D3awL4YL3Dvl8HHVdaK4aMgj7isqmCMP90owLfA9vQhHzxuqM4kPtt2sPZ6
ACxZFLE8Y1lefrVhP64GkXoNU+tMEr4upps2ye9tp05/iXbCHrDUNAzFFkH8DvChn+r+q84HJgiF
eaMJTzlGqLVDT+AVotd69xzWI2616iGn02QzBeZRJdUll/beiif5YIp0OvojLOG06a9Z1Jw+IpzS
ACv85VP7Gdl9S38U3jDegrc8Wq6mMWJ0u/xRygGTPE6k82wrhLsAH1dWT+wTPbOuRLmcezqCHEv4
j7Swds6NlERzWb6UTrMpFytlRUs93rDrC87+a0tPMWaIUAcEFkZ+2I2uBdddFgw82Vl1FBqUclSw
n0ipUVtbVuY+tkqR1s+8omPbkkLS3OjA2PZ6GBskvBotLt52Ui3gMU2SBih0VSQ3kY4mln0ZeeDV
YJUQUsq4ZQtmibToD4MT1v06cfOO8AiwtfoVl1+bsmWDO2poWFfXicyu1NodVcnjJmGEJliAEQFy
WKKnncJX5axitCfF+hG2zjGHCVL9qvOUUtY4Y1O0s7tEh+sYRTrggBLBVyCaoWBhhFRhrePR9qGK
ecHiwnlF4tj2iE/JLiog7nxV7pgUGGUU0QGnWpDuyyb0P2w3Xl7LiSsm7DP0+7hVyyaLoD2viJsk
BIfdiaIVd7TQnzhaAhrwIbz5G45TvFkytzBzAF/mr/GSZ/YV0cbK3U1Z7eVZWTx1BBl+TlFTCewL
JDLwqqRO/hBUWZHt4D+Uakuuvovvkrzk00cTSighnLGuung39doOlPGgZzAB74uBWqMjlsNefzat
NaS7UILaW7uFIqssRocjUUh1VzMPyWNYGnvLFocXHOqc1hCMVq9lncjhuEQzmNeGNayuzIn6TPcD
zH5yW5KM+T6V9CySlJib26Hq8NMnymTHYua8pVBl/aQTqEtk+nr5nPTzm4L5senKZnlX/tSwaUv0
xcsA4A9pTGKkLPsnIWW1G8dOvcduw9nS64X5cGzzNQUDxkZ7KL9FVkvMutzAQB3R08f+HPDntqug
tx0fTgFB7wIs9Jh7MM4j3lFcdFcz4GQxDiEI3y+tdrZWMkfDPp7q3t1Ukj3I1i0BRZ+5a38bezHL
XZA0/ROwAu09ApMZo52m6ZqyjS7gSFnCQljYJ8yPvsaOCPOZGMdoE9d40tJJvlj4O/5qon4r2ahW
pM8tMODxg4Ggb08GVxC66ph2waqJKQhJ8+XAWPNjRmqlK5LvMuVX7PPwK9cGXmiH0W3uxoe+X9J7
YbHdHL15vlXecFnyQRyjJMguiomJoZRzomVsibam5/eOteGltmxoUyOZrefO6OWyRG2hHyjRrH6U
AAkOQ26mYzQW0sKTqorvgPadi4X4xSahD+/nvhg54DqZ+hFz3n3VKdZpIis+yZwWMHS+jnpP/VLa
gCBehukXfYkTTeJhJQECWQ2HWWldS6m8AFyIrOxM/0pVgNk4sxL7Lh/H4JHimeAVOiulOmPqyl0o
cArcOLjjuSssydYqw/a5ihvC4FTTlD9dCadixJH9NjUuttdGEHwP/AIbLtLOlQE2M4ZaFavPWEPG
v8UuIJ5xBDbFTVnPKsfTU4mA5bc1ZtvQTtSbrGJPrbMunPdZHVXuKQDy/lVZ7XgJcmAHdlXqmzJF
80OZjeSLbh3/www8QdKFuyot1kv8FowWu3aomASIFo07g8zZRrkyOESI4lsn9h0shW5/HIWbQ4sX
V7jHMNkW94iKim+FnN7g6VsEIanQdC9z4lh36CConnPcoTMFsTaYtyxs9tfVUElRzdjoZdXaBOvY
Hyx6m8ALPXX9PLg743mdf2mzUb8VXcyXrorjKxNxHIH2syjF5A8R0mNXGVGhig/VtVomEJvnXxOz
Qb+g5FrLvR+wlLhY9oKIPsOTH3cWgrgCTSaXelMzQsVQkq9tgoWVT9QTKqb0fUyrZXyTllawrMdy
Gi8OHpT4JGrj2zdTlhk26DTvKKSJ6jGs5prkUWYtwyNdQX79LcKHP2Nex+uRobuGRCbKnEs+ZHeO
CZssTE7ucz/1TfgczUVwyTi5oJpE3PeBWacHSxjvEPqKAi83dQ88z4p7zzBtI92pPSEyVoIg51jZ
Zp256SKh+lXJluScYpVuqJ9s0C+zbmw/ZxXQTYUniOMDWNFumdi9ttGjzQW/brs02vYBImmn6/FN
OUNzJoMcv2Tkkdd5N+FOtusgfhZ+TIiL003JJ1xhsllUU9+gUKh87wmRhQdWjoqPFUaHtwZAJfoH
F6f6PZVIHjbTxHsRUz83e51aVMjRHs9tuegDst51lhVHS0Xey+KMKR/zskgofMswPM0eEfKjsygm
RNfEXzzmuFlG7YSkN06JFx90akdbh/nje+1Ael0QmB6MqB4a6YD0xh5CmrqGMlIa/wYju9qUg39u
jI9w7fbPcZDmEGjBzk44rL/zwMieYunqr3qox32TN06zm4C44U2BXLpilGm+4rjkCFb50THW9nTQ
Y8EDCmSgZE2cthmdf7QU7BpPXjUg/Hrtnh11HN36CXG9jn6DcDXNpCty/Kjrpl+qz7pbPnuaiKG7
OGlBBtN2/YZ1osbCjzhF39Xfx23/SMP468TDbPV7GIeH29GuSG4cRaUbmhn8rqVnwMqe//OXIe4c
BgJarMTG/MeXGU1RVlFkTUc5t+yfCUBktDY2EGH+/nWu5Th/HOCun68DENVmImSe++PrOKHl9tgV
hqMZyuF7dn3CB71hIogXpZM18f70px7RStihUQr5b17dvb5bf355uCYSnoJkuv3zj5lOcW6RrOqP
ok3rHb6N/slVUI3I1Bq+pJ2+qAaLUU648D1fKmQOThOjHT5DcH4Wvx0zABHr68GjpBNub+aHWVbV
MfAaZBXbjoFpZYZi5ZU1pfq+a1tuVZWEflCDeWNpE978/fv51x+ISdiWjOy2o1xy4X98Pw1uVKmr
oT6atAPPiEse18pYpZO9JWcc8oyPtfKO/+mLenZgC8dRnEwDCXn0D9/JluwhbNuw40Vjc+NJj7N0
j3YIkVguzfe/f7E/cjCuFwAv5thgNTB8cndy//hicei5pVZFf5wMIDi/db/m3NrBCur/zU/11ysN
wznHEOVj3hOef/3136XayVo5ddWk5RGeodvfCweeEGd/xx8Of/8TOX/90ACICKZIjokuxuM/fWhx
DuDKN74GTYzYnAwcKaJhTuIb1A9vgJvlud0+RF6EgZ1M3X0+DZ54IJy35kGUfA2/nf5qB5MBvpjI
HObfzoftb2fFv/+r/uU9cRwQszY8Hoe3xb8ya3//nsSWiPu2UumRaklbHms19A9zNTMs/cev43HZ
+354VZIo//rj68DzBtQeg2gEKSjxlrJ1pk0p0vr02+v8Lx3j39AxvNDluvn/w3JWafK9/b0o+M/f
8F9QDPUPD5wNstgVDAwVg0/nn+Ri5YHQ4T8HYC5Aiv2G0PmXKOjTwwOvArEuoN/tX1gMREF+R6A4
SLHtkVzb/4koqII/4yhcaGsQdxzhXx8otv+nO0QzBpoaUVzideRAUosF1NglKU8zPs3NyHi8H5vi
PcmLGReeUu8pUhsVJ/RgrXr+JfYlKeLbpBL5KzDslOi1CW6dsJTREUZgQsbAbRPOB20QvLpmYpE9
wdK5iXIiGau8x0ech0uwj3Hiv4YE8X+ZSvavCXUvnDI8biWBtOYHlnrgCDvbgsle5Tvs/e5pbkf3
ceim5iy6sjohvfHkwC9+jMcFjd0Bfc9G0rjiXPddds506NFrqET5jCRm7CM3Eou2JV4IZGI24tQI
EP8Sv4heOD03+8K3/HMQVuNHk9Z4XDJL5Yzickm/Udxrv0T+MuEB9GL+bK/C6k94kWQHJ3/3K7xe
fsSnKftquzneAf3I74ybtWKVdUN6YxeZFLjIQlavleQkhLeqvVg1/ES8sulyCbnL7Rj2yttSCWYQ
G99bjmhBPdx9jBz4C6Od9RgB1WDmT6OJQ6FfsM+w8DCQeluau2S+kjoaWxX1LpICI0KckADrKOg6
Buz2cKTh80czYQ4jpebhDpPVDUck/5g5Dg6UQtjersB7cnAHQG/E1X8l/TUGHyR4pIEeiPaQWTnT
ThXaA9SC3ubTTYbQzQHa4yXp2Kbh/CnlduntetdJh91bZcvd6Hnt19Jr1KSsY74fGPk+69yZ3p1+
DE4oI/EZWaK6kF5zX+h1aW9zP8/gQC42fX9+bWfWls4nVq65wJCwplXIP7F2Xw642UJWgmW9BXjC
BO5XojghB8sbUWbTye97JEq/RmrMrGnrwCP8wPaqadPxkTVskUyHysVdnxqLWKfirEcLs4+VySbc
fF+TmE5X4Ij6W79V9EA0pDAoLqGUhRZr2sY7KIKrcuItVW2ARw3oK+vMeGDaysNxvolgzxS2iT7C
tsxPVi7Eu2Sbfmb01gcYwS5vU+WEd6w+K0poJKylVT2inYHSVTX4h5BpHAMhARYEB4CIK9UZ79ih
N7HcDDp3my5j+3gl8O7Ukm3tKbU2ft181CTx4cxUxQY7nfWtEe2M7as62fNAgeIQVRt/Efd9jteW
TcbuN6511IrXiAKeYnA7Wq9kC5ZGJjfCVhP+ouaTmHhzVwTtU9PWv8IUOnTk5VsdDhQwo9n3hsrD
AsFF+nSbOBmsKM8NsGkHQ3Ef+WTGkPWx2Owm183LTUMQkqzyvOD16cx+tunQRRxnB0wxy3qyPU7W
okhIbpq+uMEHF2yv/dkvaFzlrWUnjD5Efvda9MNw6QOOWbQZ65biBNuiiyi2ZvUxkJjCEKR6Cztp
HyefeG9te8PdhJRwZZs+pOljTpK9N/Dm4LbWlGzhxOIvyW/yqfj14p6MqzcNFvlcuLgsRGX+heZK
S6yTWTsF9oavRT/vnYJqIXsUlLTFDY2ALUb7cSLQXMSQJSh6jqIXyVsL7pYeiKmGKq0Ip7Ubwnd4
l0DX4iTK+mEHpNHc4qaxn1TWmg/w12Sk3LQdz9QVE1iUUf4QuSra2Rnk5Jp8D8j53MfEaHp72U1s
3bcQeaaZSL/kgvfG4b3GUHlo8mAiemry9LBEKXNYlccEfjvp3qLkg7cGRnkgRtm+CRd5MWoXYi4w
wncFq4+tFuX4ZGunfbP0kLOBYeLZuBku6G5g1uL97x6yzB7Gtcdu/UeMh5dFfHgwsIjZby83vZ3r
t9aNOxwc82EwufXELJpD4lH545I28DQ629y7NGztVVl6D015U6f9EVlkAXIE7gj40vjCpmrcdVA0
3HU2y+aIfdu6o2Ters8e36b7qW41Bebc4df5QM+LmPR7FIb9u7Ty/FuTDtUtb3N+AewrPmheZ05v
sL4RbSEbdB8nBG+ScUFIdGPTkSgEnjCROV93JOGIg5rSbKZoSLciHM56MWKdmNEHvTiaM9WeKmXn
zUdnplzvtCnMU2R62uIJneevCugH2Oe5vy8SwRJLFwb3qjaA5YMs+2ryZDgSReVDKiw/faL/gm/Z
9bVlmnoPfZm6O+BAy8F16uDTgbu+D6KYWx/G7IV6YE1pMradnl5uzA83ErfXNYyj9+PE475um50D
DWmH4X16TMKOurveiqu9UtSxhWaJ91TqgWGMIv0KrdG8ABdwbwzNs/nKIRp/qgWWqjV8R+cY294X
Ifd8YztTTjOjavKtIW30MhNziLHAUN66CWlJv5lrld2C9F/Qpbi3EgL97oEh52ucZ3eZaON7Dw8M
gQsTxTiVpjD/mLifZus8sT0L/GpZXdibO4w0TWqeK5pm8exVxXCyuzYAxpKPL3PmfLXUZJt9GnUW
vjGMwjLs4p9y6ONdGeBDWy0u7salEwScxBTOLN499xs2rekZO8L0PZplyk3XHTO5ouqExYTM/PpF
Lpn+qT30pMFDkqKejJVB0TvvSea6waHNMAv2CFJs6GkaoowQKwhxCIMt7y2M4h/XtCmXljo3pGq3
hUv8cLTiA4XgT7bhc16yajotTXSHzt+s7IwksBomg2GpXtynvOUiOQxh6p/nMgueRuxclIwN7j4r
wx6eV8ahA69g96OmKxVVkw9qcdujW1v+voHf5a7YMmQbnWZ6U/rudKHyueO8Z/NoLUBK1DxTXlil
6J1DTHetSqd90FLML3ltrE2Q0+gOI5gilU6TPqh865mo7HYWCzUJtqsuU+cXdy1JTvSgNHt1lsU9
jm0xbNuxrL9K+rhJZnUly5+xPMyyDN8Cr1juI/ivX2PnzjvMXgAApyBYnpDjqfLCVLmr3e5Ae3dy
k1QDVJ0xaT7CsjPnGQvXL4lReF1H/n0NxJyWMh73JXvLH0uJaIjTX7nReh47Qj3LaKVnXTB+c5LM
Z3ju9nRF4FI9OxdWcEeCjRsJdqwfVL+4BFo7dY4jq99PxZQ+wDCvd04chTvZO+SPMlnfsqtij5mW
rBojwZKgm7+KwEAuq5u7QXk9CVFquRaHygnVp/+PvTNZjh07k/SrlNUeaQczsKhNBGKOIINTcNjA
yMt7cTBPB+PT94eb1aqUrFsy7WuhhUQxk2QAZ/Df/fOUCBVOPgJZNNt0w5lDJ8hEv7Dus94g7Vyx
rJdCswifpATp4/Ok5BcS+3el+/fkRtttXsKO5g2O3ceyqgh31pXQt7LWTqyJeUdSDwRJXrOurspp
LGCiD13CMcKv55PrqGELxkt79MRkivehmj332IctZCmn8vnsy8z6xSGr7HaEUfQbm1RNLRk+ctce
ovo45zVnv8ZL/W8STrqO4YjdqLV6AoaZ7QbW3M0X0WqXVE/sRw6T05FWHmZDoiWr18Q+p7kl8+mh
ujKEj3TKlgZyL88ZOPt93mKaKRYdcFDJybQr544VQW1s2M9nJzL6ZpUDxHojYGyejZxywzXnzPmu
UR7GwErU7nvGyfqpbIzmzPuK7qBrato29dQ/pECLB3JjhHgs2t+x6DnFbGxCTrhMu4mJEoApsqcZ
RBrxboBR7wRR8rPZpgSQyH3bd2bJCSVNAXgyKqXdmEpPp7ySQaNVqM3bEL6/PcRgoOommjfRLJhK
p2ElX0UqmURUlSJKISztGLkcMYCaHco0y++YbzpZoNr8YvSO++BFwqIM2TUJbCSkCb+9Kda/oqrz
gKSk7jthlO7ArBefNVEJYvI59SESgy8CCAQLDxBn0Y3M3Eos9TCgBu+ZnkOpVg1T2c2IqrdyVelt
rdre+fBaQJNWuGs1jILrKaHwk1XrExeUAvDXlRAjLLnLPLwfY6x20oiuTHF/1Ugn+7AotcOYhJBx
MLKKSi6UojtcJT49UVUeZAxJn8TQaLimG5gSVIEGqQjNdWalO225YmAf3fOHmNcDjY8lZ0N+Eggg
xS/BTCmII21vOCNww5QDN1fkdBUDQQz8Ur76Df27+Kee1YJ21bPoRePYseI6SH4sUffczguIJd4F
IagOctL/ZkxwlMvIF/OQc2onAbUXdGv5VD65IvpQpXGKiIutkIeNgMocJ5gHqu7SUqqDmy7lr4Pe
k0UP54BeXxOkEWn5FMMghY3gpRwfS8KQNds8MwKRjZ9M4sgxy73CzxHgAbifsZ5eBzMvN44UM1C+
2dpVZgg3dfB1kvRTw0QUmu4xKdroMawYNVghbtCopkmhpkoBb3y82OUqoIIzzDcOpdrU70bdhq4S
2nq49rKUOgniLHR+uJlqzg6RsxjMCn9frwFAlY4akxvT6veW5oa3Tje6tzYp8GFLmXFhSRSR1bGd
3CqYjb5/yESSy40TVf6NWuvxk9hCeGqdebD3DVR7DjT2G4NZaF2KAgqwbTMXHGATevxIZeNIsMs0
5301inHFxiFeo6LNnpSIKixBjeXgvEiz9ui6ruIM6lHZDDukerUs9WQy+twJ5T0rldonFhgGVnHl
7ces/gTrZ2KyWKwAYwL5u/XhMYj+pzF1FLrWofDuos7Ee0O9tuKVq7L3yfOcxRJYUy7QhP0Hb1a8
ZnSFISDP5S53Rmc3TmzVNtM6oPl+ROLcGPfKQyVYeVL3N7HRVCedFr6KVUgMt8hOqebL/HgX01JT
bHK3dV88Di4WZuGc6rsQvtKfCuv/qm//Qn3ToQfAaxH/1JfHM/qpVNxGn438qxL3l2/+G6N2oaIL
G9ULRgYM6r/JceIPw/4toSLO40FYvvJ/5TiMeIh3i4yO5dTFjvc3j57u/sFpExu4Y+mor/RO/Tty
nOsvVWH/M2Ph0opSbEH7MzxGpfz7/kEzFmHSp/xnpOiulMZ21BmdDW1Csm3C/2GszGqmVImWP+a6
fRROCWH6qsPeNhqjRr+CstZULBrnYtCZnYAsAAQV5vUZ2T57SuNBe2axkIdoLPurkxfyhJeXRFxj
u/muHVN/45oVAlLRyu8ezjJGQFxTMlDSlPtwdLLbHBW4yMOs4HCkF6A2pOGQUR/C6cHhGA5lbn7i
DVyQN8SMMD4jWuX2hlhDc5Ie0+/RQ1PZThgOsSSMkQJRklEjuytAxN/F5QSekSuQeApxdb3hn4ie
yOfBRhNG8lXjYbpMWZ2TAueC9RWVGH5GyaBNqa75HAyMbL6eHkAL4KVoTMwyZaKn3AwJsF5Hin/u
qzlNNtQMpqvCGFn2VbXRc2msY7MxaAmm6tHqYpbA0tG/vNgbkXPKLqQL1Is5u0kn/RocwFarNMr8
76gEe2fQukXe2CVot4oJShKJM8BgIBcM9PyiqADgoQwziYwjgTZtTSjOWisnwaVfEgxmJhsGrjHG
KcyZgnJtGm2BpI51sZEWJSoBEx730jlD8hkXVv5TGMC1dk0/Ef+GjUe3tPCn9jz7OlKRDe+TVW3m
hukv2YE1RkuF9sFlhV10iC7Ko7xz9IvqnXBzS20MlkGxcsaYq6GJVr1uSEa/5VkO5YGbntybLf8e
fWLLI8cxeP46jRBtV5MNlGpVhg2do9IP4z0RsO67aopBbklBcp+PNX/ncgrEZY8wR/YI9vfKNb20
gtuht9wmTePKxc46h07XPsOAKD+5RkoKUBRGrpOKeBTXJOWrHzWBr/fWh/UaAAngIO0nTfWhE/xm
H4Jhme6SpGiedNf0r5ala2EwQ1c6J3DArrmsa8jlhdSNtT96DQacYryBy8gZr3M4+NlV5F4CDrTI
HGz2X8SGuAOPE1/ncjk8t0gPEHhUTjnZgoAidLX0x3FvI+GDM3ZFJsQYdhojfyjtw3DznaF6tFU5
H0zwiby3Kc3wnkRysiqkrxV5I0EPlz1ShM5d+ivi5Vq+NcQtZzVZVu9F3CbNxuod79Dj36GO2QYC
ZFjZyDZKW9IbmWkT0HHNDdcPcz5Ar6OAameCCFp5Zk3FaSsaCqjd2ltasiWqdIj5NDPm9yGiSSUs
yWsM5o+SISe3BIx9X7Y75phzdWt8H/sEOW5hGEZaOzyPQ1edJZAHAqqWcSTDiBJnM9tdR+RzNvU0
tq9z60L7jVplwZAdyhUuz/IIDYC6WZPOaWpUqmLLAQWU1+jhxJzkjp973pQ1/ICeduEVVUPNrgO+
t6hU4c0HV7EulMkUj9ODs9b0Dg7OpJoKLTDK60DOi7mL7KTQ1/kAOWGx11mE6GUd/8QgJ1/QKuVJ
pDpAzFqZyGGaZQxvGi+Kvq0Ns+lWaV137znk44ZXhCTZCmcir/ac2/W1IkI6bSEAM6bIZ3iIukbv
jUIcxQXbOd1dXS+E5qlggK1ARL61lG+tIUx8p3kP4aVoWKf7LGNE6XMH2OCqtQ2g9fWLUEZymT2D
IjVfjv2rFUbNGc6QfNd7wKSrwubESUjf5oozhp5GK1YuGDzUMF3agjR4lKsfol6S5hgvyyNbiZ3S
Q5PV35YWgR3Wmo7IBK32wwV+LrBlDD6THbR6ArsOucCTa3zTpUeOsqbRrPMziRhDDQ2jaOG3PycL
/MCaRnMSrMzDGVfnRD6a+hg64JFz/lIUClWAAki4ZMDfjNZs5b7MlbHllKrEHlHMh3IZmVHM+dxB
DcPxm2GZ8YXVBjya9a9xmLyj4OQd6G3bditkVxYnH+wSIJQcRhSdjUE21DUDp1ZAsPQ970FVjXGb
XOCmK6dOyf3J0njBbl5jC0s82IgZkhEsAM1ZeVVk3lfKK+4dPAAv9QTHmmXD4fFxW2J824nkbB60
cX9BZyb3bI1WdPP1TuT08Ln6L1Ez1T3xE6I4O72dceXzJu9dMfkp2aCM9sJ7a+f70DKw6ODTcZ5Z
m5oz6NjkjuiRsYX97gYjbY4YpDQwEquMtIukcizTtxrFEudkCt1X+oVoIS7H/D4F2LrODPpmuU/E
V1jMjKRmXQe6AkGagHN96yKRvlSQPwJ9QsTF2vCsqt66koExgg4m4L62c/Fcc/38CQptDBEtDepu
zNI8JIy6YObFVvici8i9umX8XKI3XMNy4nJGX04NvipJrziw9HVkVWVHTxtjkRX73Sw3scDOSiRa
58Y50VGek173uKHFVWZWnzEhte1IyMbe9m5KbJ674J6js3tQEUeHPhvmH5nU4wBQSELEryvlPQTl
9pxXhMKrwYk/YtW851WE9N/h7gtjAgmuk8efYTdZAaax9NFzh4LEqQ28q5fFttYGTvaeB8WnGDCu
cwUg/220TBwvLvOFD8KLtKh7ujF6G8b+OtD2RliHLEIeW5O8tA6djNVzPQ8lQORGXnw6pTaKOxDv
XJQwFytTbS1ay9yhG5AhAtnwbLO1PBB0otyVdkMEOEnHFMODof2c9WQgPmgCFmdFkIe+DCV58d54
Ehaxbr3zMcZRKuCeRdQ7T6YNXXW5Eeu7oTUR8bzRu5tmfDCnol0gXTges4uTuNlnNfnhezel6aNy
df9XU2emy67MUYJm0gqPl06sduB/aTQ6taOuyK7xaCE02SYf8UrPsb83rQIFq6xyYhBrU4yIi/6a
VgUkaqt16xiql25+4nsRTqCSSN7IMMlmO/heqd3BopMnK0rmAKEjDHemBFwFQbWbhoMfum25V1Pi
vPYab2SRx/0jhHtS82mu3w+GNOq1slsmJ53G8uDAK91xTVLvoH3KpeRVAx8YdfGxq0V9cmTKu4pr
MgEgZ05nxj9Dv6ZcqHvgADvUq9rv5ZvEqBaB4u0XeTuV5rNIxvqVpF919VtarUanme+8zqGmnG3L
GgO7bvhEGxqo4Vzn7ndpQR8lh25Md1ofFkd/oZk2MMj6dUMKesOVjn4yGtP0xRo8fSpJByNiT6Ft
rKnqv8hlJd6WmXK3JQrpw16dh4c+VXr352+J/Qu+AWSld793n81EwZLl8gxrsTQtAB9FdfWGnOa5
On/hOvmYyRwhksLCs880gHc2pBoltXoURuj4lPpOFWxI0+CDp3fFf62A10Ayr3BlUbRCdh8fsGfe
Eiesz75eLl7N0nnsc6e6cHnJzkwIszfMh3aydhi1/UinWVJDB+R/Td7fvsM9CeOrzShn8eJJTMcS
8BuGZ1+nL1sWhs48O6L0V2F2+BFmUbMLCwEorNAGDpdR5VYlsXvPvyvqaN7r7Fw/Nb11fkZR2NAT
RbkkXY+z8JrAyfmsV3ZvxsbOKH0oZ35rbIHfJG+zRpOdANFobvup9NnbZH/TU18+uuRzMBd083WO
TfXT/L35NjAKV/zhwfcPUfgIULX9GsG9XVz4Zs9Qc046zhgH/n/vfMoypm5gsDxpbgSmWnzbaCTM
vwzz3kvdIRBQpMnP0qbB55zZdP2g+6fpvuuS+TD2dbt010D/WmWdYb+JSMf3zKiLoIyIm4FRu6h+
WFqt9kPZxJcSqMpDnA/1a0Ns9rutbX+fFal+68ku0i8/jdEBaFFLDB/NmRaCQkUHzacB+ZAWtdgD
kRnBBlD5ubInqT4kl+QMlUt1Z7CJQIJTh2QCvMY2OXMloNi8GYxFb6khzhIx2ei0gzzaE7xUhvJF
VQVmlc81FBab0kLm6Hx0DJIJ+CTIlz3zDvAmUD2vVKXMJInM5XRjdgkoZ3pgPbuAGjSQtn+MeDL3
OHuLL/Ji+cdyy0ZpITOeBZ1lak+ia7przmDwNR3r6QBLGAcx0PlpbZtUblZ6a/OVXnDEgKJ/agXg
vNKPgG3HpixxzGZl8pmXWSP3YG6ie6Ok6hCoT+Vay7g/eehoWmiU6Zi8LjkZ1iy5aiRTmJ5kHWie
2bZPkWTwhLlbE8+JHfqPAKQo3fMwg5DR6iBSJXXPgaTszfbYIgbSJDJb1rSKWqeCClIL0q5FrHE1
lcmyKcc5qpdq+Wg4xouczHpvD81RsSN9xikK0rpg1MRkmEIYdGyg3FYglcIDZ9hojzOiNlyi1iGV
1SQuUx+ROpsREvCpNQDINiAZvnOPYdw8jjnFKIi/S5GIbLw1/Kz4gFrb/hyjFJRmk7KSaAwiHmrd
FS+5vdwpFGmcgOH2BKbJ04madrp5zh0F6VwwaulTtz0U+Hpq8hv5eMPHajCIppmC0us+/AArFWNo
d+ZsiYzUxsFE249e3W7Ektm7A4by/7WSFSpW078Ss0zbw9D4//eS7T+b6bPA5fnz9z/u8P1f/6n/
+T1/6leu+wcNS0K4BDkt5692Mtf6w3JMRyBdeRjHrMVY+t/6lSn+8PCROX8KVJb5l5Ylw/3DMZG1
fH3Rt5av/BsRU9slx/p38hWORx/uoO2auEB81/wHN1mqs9enKcSspNe8exdoIxjSuci3lAskbxFi
6bsNGP9QOBmqrl8jrEC4ZD1Oa7o8e8MnVtmoJ58dfcEfJ/6tZJD2ZgyFezfPwnqJ7bC9DOBYDhMX
t68y1kzoVdHI090Az85tot0eQZppXevK+k7H2YD6UXfqzoFL+UyYEtk3JvoFjafC5+A52bOR6UPA
Ksbdlln2ta1NatLwDKF6OTlUMvjcDn2aNyJv7bFhC70x8EgumPm3Mc4mwLh+T79AjU7cExFNEiUC
xyXgbacebcQJ8/Ey80LOZTaHexbdCEiUSZNvC8zZGtMsMOsu3ZiITU8cgl0W40TdddiHAzLogSft
ajXFjjgzrK4uJojZ45gJa2vjXLqzjN5ajtzpU6+EupSK+VPiOgUodKvFuN/qnGTq/jErGGYAKYYo
kOHXTzv7LuyajOjpiP+fI/e73lgmql3RM6Qy4BwYdXqfZWazt5cxGDfviY1PzZ9+zj7EeBd6Iebp
wJDwHdXsZpuwUZh1LGG8hGn1C3t4ZQeFgoBHQCQd3oUao5taSvgmGbbPftiFP/XZmt0VCzOFbnG9
lLtNgo3vQEgqb7fsB+I995eOOOt3X5w3u+NHMtUDPHWOR9fC68Nz7OXjyScptmkqEC4MImcvDsrO
9wMyZJO15hnRvLUGS7JcoZXC7O+7/Je+tNyFvQ6xQ5Sgg5u2LM7mUowXjnb9lE18Lladi3Ubg24a
Cc/TYFoewciZlxSkEqjtQr2OiUO20vO7V7dP4huH7Shoa+0RUbA6Jf1g/IL0aq9yAApogF0NRjKh
pviBstpvKb0PcAbhpWpmKEowqE9GZtpBN4ABXamk1PUltMXwB43XvvR9lzzK0tPhl7bTEcaLe59X
NGZpKQGkQqes2o36c0+112fTdiAZDGvYR7EHunyqFlE02xjRGO5LUmOoeyR1H5bD/f2ghmk7Oc54
JOZmv0uzcSgdmnvtzY3t+BZVWXoo0mH4yLE6fw4heRaJXSAoW887DWbdBrE/BKljP8SjXj+a/Ziv
/S7rPxOzrm/2CIe0KTvzveqriOhCT0n6ZIauTkCZ5JeVY0MM+L9Wd1Fr+w5mFSs6cRIAPOM21b09
xkzUvap6DSmKA5WRi25v1ERG2YirdJuEGSU3Ykrw1ID+gFSuRwSEc/Me2y1THCKf/LyCIDKBXX24
caV0j5hDpgDrQHkJXYWjUSXGfQxk71IVnb7hqN8c295tyPdh+4jXTlU5l1RGcJXCjIk4QU79p+dM
4JlRNy6GTvCD1quag5VtQC/rOX6S7m1bXHYgUoYXaiiLeqc7nsjWzKZTN/An3Q9y7kz0GZkJSR1z
GRZ29CZdDOonNmVmim1HkrYg+KiEHVQkS711kchqgyzWx9sZXP+dwg4Gaoul+J25wkzr1+jQHJ/a
SxZtmiO0UO7eXOKbmNHDsQE8cQZ5COPbklSj4H7oHkatL75bvEcjo+TI+LAae7RXRdXKdw7Ty2XF
TGGnuAUnF0DMRue+T4XFdVNqpvfC5MS+Iz80vNUCTetIDbjpcFIsp4M2CLvYoZya+hrXioZePxol
vuHKfesQT7yNn3nNVSwDbrOclkWbOQILI14xotBQQ7ed0U/dzjPEMgs2fO3dkSNaTFoCuVth+SVf
CYohF3uofVWzNiET3w1ZUsvNOCpz3ESGzmG71Yak2U0Yy7AfG3b5FDs948HBm5nTM21svwQ3P+4n
neNI6He2oZ4qKbST28z5tssr1SynMTyWSQ2IRERgQME8pt17DLvXXhMfh10zdAO91mk7SZxmGtKn
aO0Q5mmmJ1gRTZvDICLEEQuRc9B1hZ2zZTLwq9Gc4pXLQrvj5jJla8zVOIE4O2ePceqGrx1FAZfM
t37Vk9Z82rH/aMHPLVczXC3G3lnpbFGt/GNnd+PH5PVYla2udz6sTtDJvRjEDsKJAMLHbobRGpHx
MUy92btGaaih5Fu5jkDnNsPWT3x+gcaVapdmvrJWDo6VAYUiT16w6I4n2hWim4DZUCOBIeUxekW9
Grh5/NQ9dhXTH0a1JpdEb5Ic7IuW9i2zGYsp1krlnX3QNHK3q4YX4a3C4vQMWDU9cQumUZ5WEB7A
UqJP7PBG9ruQ/P5Lxxz9kuY2waFUE0m8KYgRv0Fr5md2SbYcESmsglx7DAC6xcV2LFHQX7Fh5tYh
hrlWrUMX9tTa9M0MqjqRtXNa8MFpZgYwTxMtP6DdR9l3rfVcQWhvmO/oYuKNUaGevSZF1p1YQ/VP
oavpFeM5rSSFxd0odOeEtbcwmbjxj8ZtWo7du8/3P7Q9s310IX+gtc3W3uuMHcqY8IxzyWPTA9SF
vlX4t2getRdR+dmDZRIchfEKvk0qM7+YWREygCAA+JNFV92D/eZCg59G3fremlTALbj80NKyOkD7
QQmvzcp8smNaPqCkp9pXQeAOGK8jGtD7Pr1FayP0OCrgzs0+Y1nN1U7re8YMxPZ9OK9x2dS7xMjF
m8obfDSFKH660vLyV2Z7CLDNNLiPCVp5tHUH3DdNn0DBVChkV1/qhOMVWCb6FSN7OIXAe2i0T+TD
oCTOm9YbSIWTxoRel33xWTG6n0evug2tYhfoFfs79d6PaSO1apVS3IMgX+uL37nC7qe5Kb4bo9bE
rUoWvjMpe/fcy5lCpTF03Wiv4sbvgIsb2FxSNB8VhNJW90vvCY+naywF5akM30JnpGwAiYe7ZsZf
FYJEdeva0XlQQ+yDWoj53JMGLglpxPkyj4IVVXhW+9jpUNAHL0QUUIL5pQM7gzeezt9DvFS0oN2a
9dpih+PJsCeXHGunb/VSp2ve7FPq7mcB0pcEEgUISZPcO1g3oCN4hYFs6JY3rfaZj+lYXu+cZuQv
4mdpTaZp5C9UWVWMohJ5n2mcmT+4Y/JjRTALEazHgb+vnKClWm70A6sDtNis828g3UEnzLXG4qeM
u3Q2k0s22eEYaHY275IhsffstFWKAUJHPMoTDNe7kmT1OWROdhotZfprZjEqCeJYth9I/ZJoPtHb
X1nl5z9D4FdHO9SiLwyt07SO2tk/Y6q8Y1QkDtOMgPC/l8Y/b3n/6tJI0OKftnXv4/zzh/zM/uP/
VdD75zf/9+3R/0MIj9gQrljLE9b/EIpcm3sl10kWbNOiavkvhCLTXIwROlElx8UIzz3yb+4HLpYm
eT/CSDyu7u8v/RvXR1AC/3B9JA1FMzhULwwQpm5YizvirylCF+8z5mq6MWGBBEx+phpCIESIikTL
D55Ilish/dtQ297O0QaY+1aoAndIwoPh1MY323ixZ9OBFkF0qMv9fGdBbfugkwZA/OxUeIVVWv+o
CaTgAq3bdTZM0R3NAeOj50ttW3bFb9SDar79Ipx2o2zdR+yz8bDBTGQhfJa5tSosR24BiGwnv7sw
ws5O9MPqHNwddajniI4HlPZJLyiOqnwaNXGyVn7UvdFm4n+nmtMxppJTuGu0sNuahQ7SIEuy8Tti
OvNBV2Z3xOVhBLYzqt1Mb9ie7BYUHkMUu3asOwwGGRzt2Lsn/zNsJkY9+1IKPajRtlZDbXEcIopy
HRx6Sf1klPoqB6IChLtI5tUcxtVLTwXTz7iOnYsSmnmsve55boXPZKD1rqZbWzrKFaAmwylD1vIY
fiwVHE3jbkLZsrFMedLvvGka18zw0rcWD/GRC6w6FqnxowlzKjDTOEappGEkdr32KQPGC9WxBf2N
rcpeRakbf0k4Sa9GGOGHjlvrHIFe/KpGFtHV2Nrar35y1CXnSPNWsjNd+MD5PW3oQGENzdkW1t2A
HABl0iMgg2uZK6jwfo0WXk3OcWjMGbbYY50usXjWTXy8tKPNGZXBsYktmAfe4g+lFU9WbiS48zHk
0Scs3mhNYEN1mMT74MKDCovocu1u95UR18Fg+vzqkUFhWqTsVd/bfUVBsZmcbC28eRyxcSnQX0JA
X636ll1MzdJ8H7mD7TvDQ6u23HzppQWD3nhEUxycGqvGGHJwmS3wXNcIDM5Um9yWP3HKh5zcisq+
0/U+OYBKWvGhi3OlRH4eytn/Jl0TvYy9jusai+FtGo3s6MnQeR5oDmXzH/2aG6/GNK8SxgPqhijw
CWp09JRWQ1S86arvFlKhb9G0qXdRtcUSYdzNJu1kyeCMJMmyjtCRwVMbCz97yVzfqAMKnOetlvM3
8xNdBFpTdB+zLcuT5nnVI2dm9wQ41NtOg2hW5kicwVpK0zD6VZPr3tIK7iUHOwRRjbRXMyXBYKdy
B7e+eNGpmr6T/HZqbePzQa6HN7yqZRLdAQKOruasW4snaXF14zuMiFw1YteaAy7NUEzrDrTv2oVK
8cPDDe8zANfqPZMOawsH2KMFIb3OXfmj1ccjFUrJWhNDYAilbZtyuOQ93T4eRl74g84z7uoAo5Nx
qHDcQ+aRjhb8ReC7/mnu+o+iy69lXKj2v/7T/EfPF6ueISzWad2mnxw32d+venR4ujAXWQ64TBhy
1dslvsOK3lfJ41hUZ474xnrIwZe1xVsG9Vzim2iaO2vWMUPSFdid1NxDdMklvgNZZCe/X3ovwYSk
Z3gpxRs2i2bbukNs4sqUVr5RqqFEjBNi+uj/fp/T3++2KSE6HAreC+dA2NI8DvYEMW3oTavYdJaW
fvzzX91d0q9/LxgS+bGWPDe2N4fN5x9W/ElTCIlpJHa6HeEjxyGUp+aT5o0fmPiSlV4yS7aZJZ7d
pqMjGXodYCkojDwNTUWXhBbZjb6xZ8kMappDqDCGPQRNkvU/OSlGzzIfp4NbD3uLk19tzvW4Nrrm
w2PsUsKH3cGgOxqZ4a3TNP5R1yPGmFnPryM1SwcE0zoAEANJSm/l0YCVCZgy7eHBNzSGF31jOphn
hKIVB49ZOFCD2Ts0Kdn+mF87d/A/gIYUH1Mv+u3g0I5gQBC7w4xR3zE/k1s56PmuVIP7BsAmPDi5
GV6nZXjKf3W3zdzFb4luUjDaD3NAZMnbzLlj7/DjzLvSGTDCe8N0iCR5ttVAn/U2Ukb0NAG46Jk1
kovkxx4QIFO5TS1f3y0uBQpYoB9nJoQ09iByS00bNjdl0GoeQUe9ccT3g5orzi9H+FEQqzQ9gczF
t1PZyYlLW+SsseLYN03Zxr0/e9qT2TJ4YiARsbfgjvhJnex4c8gg3my3LK7UgjdXj+KFo5hzfW/q
ljyHtWj2KJeHnEIL1UsvcMtGATNuRwX4XkcgG4bhYRzy9I5Kh65eyUyPYY+jyjLAoQRsqpunzgAi
g+jAQZcy+C+LmelzGVqljz/xRaqEPmA12/QyqJZBVS6q4TITKT7PjaKqULbjqQCfc84pjSG4l8Vn
16aIfdW4nrltdOwZ4M8xy4imr85uNYT36AjVg4OoTTJCZxZq53jVbdJVm6aBpeaTpbt2gywvDtnn
QLZU15JaqI4MWGl9WVaRrMbsR4sy5Cniv8U9bTtPJCZX9cAoS4umy9g6Gk4AF6YN28R6YqlqlzUr
cli9wmUdMyNdwinVtF/essL1y1qXNcBUhsZYWdj3weNk9m7+vTBiiWCRZKWwKNVi5WyWNdRrJOtM
FhszC4FkEGcs6y0ZwOJlXNbgxrDGYzGUrLmVQb1BEfb0Ag4TK7pe1o+9W5enWejdh424FZQQt7ic
Y5/Mf28MybJHuMtuoWc6ZSDpsofUcBu0vYtAFK/V7y1I+BUSua9NCu1Qr93nSZT2fVtlVogDh30N
zYxObq/UU3vXMjc+an1FPHbZJztKcgLCTuygRRV5XwMePrYKnmmTfSquTtB6e9ZQavT2ZQjkKKRj
Jw6a31v6LBjURbT/SDJQcb/VCbZQ4NHyEbm/Tw3TcoDQOEnMy5HC+324ICpJF1jn2oFczh2Meleh
L2tG6UuYDCeMt6E6azwx96SR09fGQ2gTT4YKnRO1q2TQk3s5JF1nqFXnMd/Xe99aFzhmxuWml15s
o00OpiqBW0a58SpLx7oDNuk9FpMe5qsGE98Wqd3/Wc+VcR3R9H4wweyvcTvFLxo5qacQMakNItEt
nhup0eVFyxj5ByvmsukPhGuZG985mtntG7oTL5zpyG0NzAIXhJhhX3NQdccqrPI71fXY3KrBbb6I
VbwJ9M+AyuZF2KJjhGI5T8ci2ctnN+IXJ2NlHDCewJCXpHyBT6JjUXSDLQX7q3a1Z+xHrjPCQU5K
5wo9yV5j4+T5oGH9GZ8RNrFSNNnB1GL6L3PKVoHU9R6lwnrVrTN/TNqLU4EMdfrBp4MyFl+jP3c/
zLJYLBwEWJn98qJth2EmpOugdmGoJLjzOqFg7+Dl8RbDnYmPRJ3QmxpPO/p1P+zp8huP2KKc30Qj
gCG1ExHX1sS7PnrXGY/jMxFi8i+lBrQcEvIRQxZNLIPlOQ9yMtKPxKQ1Ddaiba7MJldfEVrSR9Wp
diNcK9v4ZYpXxqEIFBAVRmPD3qi8cE5G5fPwa67K2MpF/KDVC7vezMoW0CGnwKUt2vo/zJ1Zc9xI
1p7/ylz5Dh3IxO7P8UW4CqiNRYqkKInSDYKUSOw7kFh+vR+Uej432T1qT4Qd4Zue1qjJQgGJzHPe
8y63CV8jxHRwa9noAKvaXk1CIQBrYJ99ldCNUwBoPnJ4NB5J3wSrY8pj1WXmSc3dcI0FMMJnAZo8
4gbHDzvL0ZFxxhdYE0VcCvaA8YyNc5R9gpv3itzyeZ6IH+MAy2mQwqo8Oq3l8rajitqUaRPdg/zP
e3YeCusw0z+nBNmR6Vp8FmYtH81GDAc15PWX0bLSL2Gnty+YPCDaxr3roPrlG4Lrz4ZNyDBzMss+
WmZ1DTH5QwqCTdE/DduBJMGAlBJoOmGOCUCgKwIVwY8rW0dJZdZH1+45d8PMOoHpGYelr9NAtFCE
E411qi+mvJpGDdpbbIffZYt3aWS76UgU41rWL+VEoTyhPII4/mMY4nDPyFvb2Uglz0lbJFdILaP5
aii16h6jbfkQ079M26Sa+heVMQjcGlnnnssGeirsSCP9SIICg4kFB6RNWmSEc6YmOXsVoxwvrXGn
1ELLTnzHa21+KzGpeaIIjXfq9iQRD/L+dHx3lYdHjP3SK4xR+63LF52RL2rYfdKOfMhsKJYlGvKA
HNEOs45lonEy0MJo4LuT58l9YvH5k547jwWVYIL+a/auC6+cMUwg8scQg/MNcqzYk9SabiCWZsOm
yGfe2nbWbdrQOEW4X3XHNO++Mp27Xhz9dZ1SB0qE4qlXmvOBiS3HY/3Q4V0NJIfT9b2M2hkWRpIs
P1JmShsjdj8XfUlRPXC2L7IU/qjace/qDcHRsTHt9TU4nNgl/TMMdVJzMb6O0Vyrli2JbLvIlPVd
7YQFtH1G1hr25m7/ADyxPNi4ldXbTMfPG4OsM+I65oZYb+S3eVnJa8SU6GHXVCNGSJKEm6S3fRNy
Q7mH7qN9xALFuIWUPb6a2XPYkaEy1hMJH9ES28TuzeahTTLKIq28LkD3TL0hFb7LQwdlYronmRm2
3iTpMaZO8wvrxwyJLd15eEZCup3JoBg9R/g1M8l+BEamILzqJdao+vDoZt+qBYJSBLwPoteUMn1N
regmy4oSfVat3zlW2HxlfXF4MVj6MOKAcpXHZf2oK8hN4JWgECRkaMQJ8UZ/Xaxu/GQXnvE11DPr
i80gadtDVTx2wOQnToL4bOehtkUUTPhXmBMBDJl7iwzh2K9EOGxFybTEV/SOSa59T1jx/A3C0EJq
RFQc28XEPDm1TfJjcW0lRhWrfc5TZ3oE9kMAXOKSv8W+LT4Q3lwQ1D03gQm8ywDZmz7KIaz3lgY9
HUd5c4fLV3owMZLDSYdKds7DOVCJmA7UkDrStgqCGmoNPby18rI+ms0w7aJ8MIOMyNFPbULlp5Ba
YlgxNIgGW+8Q5XkMPTmBHEXSFfnlVoH6K4I4rZBaPjZqXieoUxTByynuIxwJyw1OwctOrQcurv8M
40T2KYdUd8Kebtgj1qQgywhSIj2Ynh/uxQMeHV2wDHWFLG8a4MbNpOUiEnPkts+1EbfqLuMNzEqd
DRvjabW1B94sLqXa9l7BT6geMs8clsbnuUzgXjPs/l5HpXGIM3aI0ChgQ/f4Lmr4+h5KCcrdEzyw
EW5GXH2KxteH7zhuo4w06SFjPCzC8LpkblF68bMFMJNm+jHCGk3EIUoehk0yw1IAci0oPmlPsYOV
WW4t8wmEr/QpH+7py7fSy0fubTERqaGFxXWMkBUSvXJ8cIIlSCYL7r9MyEtH7psj27EcbkEojmNb
CayrFaoj2ZWvcYiphD3icOUas7bF51/UGyNkSl4SQ/ZD5lX2tUzQNGxga4f3BJt52NnY+S29Sn9l
EhN1RO0JssRcF+YiQTBbghnrr4W9puHVeXWF20lK/1enh5rRywElTb43VducS6PsDl1C2AGpJgTz
OOhbTG9hKJqKPW+Y8amnXbvtNRTIJZPcICnAPmLoD0KHJN6n2VUlrdPUHWaX+zmU3ldYIlsGh+69
LJUHQO6kn7GLNI9NludnJ+nwfOQVPIYj2WGGPQ4/0e3v03+PXqq/gAHkX7XCMFFdpsW6J3XvnfRr
TEsZhqbh7rV57gLU4fb3Fppwsmms0vWIw6D/NYgaxMuxhNnbMl5CoxvXGvE82fxsE2beBrlpxcGM
8TezhRWvBNPBg33AoIfs8Hgx8e25IJw6zjeEGU0AhHNlu6cEoxzSWOgQte2lx/+/rVvcv1Q3T8VL
9z/WX/y9quc2ieL+P9/+sfv5Z26o/9Q/vflDcOFL3Q0v7Xz/0uFD/k8gev0v/0//8nfW1d/h8Xis
YaP1r0lcpyeEbf/4b09F/R//uHrqIO62bwhdP3/+d0je/s1ZAwOob4RpWqDe/xQkOviDITc0XUe3
+R/bZUH8k9Bl/SYMzxKuA/yOnf+K1v8eGmDI36SDOR5QvokyDFniv8PoMu23DoKo1UwGRzpuk29B
qVIOkRgAkfdFyASR2L8RdyndJC57SNRNbWZ2FXghHrAboZH/sRk6MwuYvjdX80SmMg62zW6O4RUj
t4p9fSZSPSea5pAz3Qu0PgSfqrVIYENlkVpOochkPsSgq6n6+VhIqsGcsdYXkrC6vUOTGnSNvopM
2uYDCZbZl6gNGQY4pBoXa700Dnl25UWedyyXkSJkrauQN7Yn4BQijIWXPBFMgNESvsWJH17Ksm6t
0Ny1VsvWqk2Rq7qpLqXcuFZ11aXAc7BxPC9DBN0EIkn/El2KQVBJ+dCvFWI/N8l81TSKBIEWf5Qa
HeYudKtwP1NemulCHIFrU3LCFqIEz2Q2bokXNvfVWp0SYqYYXlOxNqmqfVK3lq8MzdMA/MA4iLXG
zZx4fhgySIFXXdQhoUeus1bFQ6Gv88KCYEqM9jexXPmsOM5eWciUn034O8Aetea7EQYZ6aUGX6vx
Ki2zL+Ac9Zco8YaDvlbtDi2Bs9UtbN+StbpfVg8nsvmS9vuAdfTJGHBG2FMGZzqSJdT7o6YgIMg0
0R40rXCm68V0GJYsQ+69AshitA3vbq1ZtPbKRvL9pNVJRpqWqbytVvQ9YpJc98Ml5bckdYxf9GC0
fQBdRjuUQDQBs13hLznp6PH6X+IGicsDGcjyHhi6eG1GnoIvW6P+jIsbx5jrYTr9CXDQJaBQSSgx
i43f2DbXC2bJZuZGHwrbMY5e0cS3lqS0FHUbxjzuasRbXmsruCdDPN+GxE6wDUKVMvmV8rblEp8G
bPAAGdEu4NhPavbGQe1HPYW0PoT4Jjd0+e0xNrV5V8QifJ1rm2vqYK5BBRKEwG0FSyUOwrGR947d
hU/sx5kLVq3xj0lIcL0EW4LYmz0K8Ya84DDpO18HFLurpMyBJ7yagMJhgXciofncJ2YevUInxPU1
rGpGQAlMB6sSdM55C0ec5n2hq/DcfCANy9X0H2BH89NC//rJ4GMtv9KE8aqDC/BKRxZRB9jYduOq
0EQwYiRdje2qIggHPLx0DT+nYsELP5dV5U/KMhmNFLitS81xzds4QZfvczBHZTCnk71i9QM24rB7
rI+4WWTjxqi1gl7d6koZpKJxOa+nQX8Z5wYOcp8IMkuLJcJgKiqdlZcRWieBO3IHiOR59/k0fYfJ
bB5nUVnfzXLJD7g69/dTZIGPD+TgLKIxb7kpoCrCrafPk5ZGT5ymyRGHsuxYz2EPrgVLfZPb2KU7
mSeZSXUF33WJkVdT/vCcJuhdV5SxnKwWJ5Qi1twb6mAEiz0wHgSiRsfqS1V7L60EmfKnXmMK7yTx
c7Kk43OEdntnN+F8swCH3CZlp5362SpuCTuAWhChrsXARczmN62dDbp4xyD/vcAv5IzpvQ6HrCK4
PkzJeot1/bZLBewS0/sGZQXZbFnb50XRZ7gDOfOJcvMzsYrWN9eMiFQsVxzFIRWOLLzVkKp22Htg
emRqKzIBuUpRBB4hY1UnKHd17rtUDInfOzI8p6kzHWY7cYO4BSclYtQNz1YnckZUmk5GJ9ZNXb2S
3/Qn5k3eJ9sYYPV3nXdPZszdXOJwHk0TZHHTLXeW5s4YcVtD/WBbyrsq6hyxqGkm3ysZmxCVFsSr
atD3GHTlR0UmX2B1iQv0XmUHmWiWn1vxiPdLM/q86m1QrXt6OUOba3pMVOxoMr+ilMFQPSF+eG8x
koPylyc3GvvedYEl7gevI4AgtkLlE6jc3Vvs87dNpEKEmRXp22rImj3BVeatPZjZg+i0+EVgSMRA
KclUMCDPv1qIqzvgCJAchtJCoG5G2gncBt7EKMuKVpBZrF+PRXodWcWYBcIYkaRrXndIsyK5L6hd
j/Ch7sjnxGuF3RLeLBQr+ZVzG9l0m9GvW9Zs3y06Q0Is/AiTaDy9OLlI0EriovoJeKWKX9M0i+7p
u8IHWUMX5u0Ap4mwBWAe0po3At7L01gU9hfaD7xs9MXdwoAuDqYJLxdLTKFhekUk0CZRo3NXTIZz
ztvF9nNjGc+q1UxYwAS94bYnwhPm1XDL9Ahdl0ySXRTjL4hfXgSdWfT9ztHS/N5yCH9JCAoilLuO
2xfgryS+kQgbnjTIfkw8oQxLRA6VtU3R8J/xyYq20RzCtoNOc17cQn2VXZTumPLA5+EU2yuvqNY9
3o1rejryCvAsLRneGvXN4to4b6CdlS+GqkoYJmy/8OwA+nUXYWUzuN33cHGJFVhKuVNjo50Wdxle
CjDLXSU69bGNOIY2jolW3AC0PBHilz2REEb2SenJ6EOEvRhoe94mu8bC1z1qbeM4DAjHNl3tDFfO
KMSVKpgTepo+YN6SJntCbdnpNH7mmIiIUVsTTrepG9t7gsvTU2e7DXezbz6FY9luC44TArhnZNRT
1d2PVsv41A2dhy711G2sRpCsYua8ptC9cvGjYqBf4uyoEfi74BmKAZntnD3O1ef/JwX6NcGYVVe9
9m9L8v8vK3R8NVgdv6zR/2f546l4Kv/xVP74xw0bz/NT+49jl/PH7o+1+n/9pp/Vumf85lk6ls7Q
YS7mu5TFP918PepuHf2FY6K0cLClZpL5e7UujN/4fyTuzBD0HYxE/rebL8U/LZ+NobqwaPn4vf9O
tb76kPxxmgqbj96RKxOMJrE44be94c90EFrsKpnafTzCwEut4rnESyigiYA3HbYw9pf8FZ+fert4
2TMvhth41AHbhmHJnFSYELll54cTfMlwTD6ralY/u8F/2eWK1aP+DwYn6yXiQ6VD1YaERLjZu0s0
VEj8YoZ60C2otDRKX8IrG6z4Yg/qesORPd3Y3eB3kYT+Z4PY/qET+4s2+19cgIkLFLfKQary9h7J
TNTuaObIF9dSz1jQe9YiX1uGMIjXd3QIYVwMXn8aYrxtU8F1/PoS3rZUzuUW2JDghGnR2SHWeXsF
nYmdUF7kzZ6k2HkDmvcAGfomwd7y159jvlPj/P5BNh9jEumNMvTtB9kLDh/zXDX7slIIdKN+Na+r
YQMU3o5Sk+RDGyeIBvBlo8YRW8lQL8/aJO8sMKYzUx4tMDQjfOpSawzaSer3RibU1mH17T1rao8D
IbH7tqDz02p2yiwzyYVkWLRpB9UHDmLuXTjI20bDnTUOuZFzY3/Fd+Sot53rY/DHcVNSA2uynvck
q8XXc/hpGSGKYKz5QLSTtTOncbqZuuxVGEsWIN1/LrXC9fM25FjwXlRc3BuL8+XXd26FWt4uUl4J
3YWOYOP5a7rrE/wDD81ZSoxgkgYM0whd8LD5K6GfPshjT+8mky3ceQ9zDeXtfv25cl39bz8YCADC
Oo09bDq2kbcfjJzDqcmcTPcuwViB2+fp0XGX/iBlLZnPd0gtnEVtcbmzroqZF7rs0tUkpeSBAk0H
OfRcDkMPzIx3CrAhQ0LkuJuqGed9noYMFmAG4j+oUYb/zbUDVLy/dhtEgukd5YsNhvX22vXBMzHe
jnPwaYl/iHaRYWYr/ZX6fRyqIGPctQf5K27I9jkqZFFjFp3oGTucWOzjzw3InIjeO9uMC7E2Huhg
NL40wQgMdnMDJZGxfP/1df/5WZsYsJP+INmQ4NFxavzxWffUmwz4ueyRoDh4yGwKru4RrLne6BZr
RBpDLFeRD8m/ez//4oZJE/RGty1Ij967hz3IggA2r833ISwxKlLP3Xhr2/fr7/cOVmQTQBYIwOHC
98Q03n4XGlLmdWEwXsz38eyUe6dtshOd788a4l9u6675530dSNxjTiwdQUCIfPf0AWYcJ05Vvq9k
/ho6IaCv3XklGRBGR93FS+5pI2eLovsvxZKdCit/FdjN39ULGY7lEHPuzN5WrBhB0VsaGECkH/KO
RZ6lo4S6ryWY2roPmk1RhyfSjZzm9pgwM/OzaUg3ik5xB9oJuoDUL8B4da/THG8tMWHv1HhaUCX8
Z11sibPucGnpALTAoIudqHFd6EOMVeXCvzUTOAQpLvBOKRExgUEmEXu1uZOy+zz1eHLLGptScjGf
iyV5tlLjrqiX8BQSv4t8KX2l0awOKBe8DXlPB23C2GOATrPLMWhuo9DdEMTG6M6g082Ux4ITrO8y
6gjZrfNnW7EGzSz6xKifiUXuPcQsDvQwGddt3JWJpx3GWMEHk/2jKHnb4cp423nOui/1ZBEcpzF5
myYckTOTD8u91HxCdM62LB2yAcfkuYsmF9VhQ0UKJwKmmPWtbGW6jYZC3quKbitNFg7ixcYIIU9f
RcyXVlHv+th2T7gh9fetzF5sdNyr+uEcjUw/FER5RDB1F2QcIH4KhrUtWlRktDe+iVXU1osN17ew
EtoOeEtADF3KfWYlz8CjWAqtWbxaxwmcz0xWC7M4W3n9MRXeA9L7gtew7f0sdKHuQLbnYFGIuQ0e
Tdm193YCZ66ohw8UGPvQKZ9RerTHbqhNpux5F3gTTxO5Vb1tmxTTkNzeNU3+SmCZ3NiNump6Rb+X
veb0gPupmyFSmHzRbizIhzOuQ4MViNuOC03Qucmwd9niLOChVTAzX2Jb4Yc167xaj8y5or7KBB81
q+xVi8DIbJ4sYMarJap1fNlYnzGKoGOH/g8oxhRoCqNXwgBYBKBs2AmMLq6c1XminV91JAmuMcUz
yGn+AQtrfUuAmfuxkzk2tPGzbejVIZ51oDa6Cb3HUQkGkzjbKYmnlwdDZXDT2QBsmWBPu6zdeWTZ
oDyRm46mflPHybMbUjNakXFnuLm37+f82dWZ9GSscNHzalwWbrtw3SHCLAd7EQgNNqxk9wFy84yR
hZ79fAXwy30Wwrjr+rbzLUXxiXB1IR2chzUka7WxMhiqghBPN2YFoShmPAexG3kmtveSYMczaWta
gPQk2dY4rPtVnzxfLpzLpYoZymWHgf+8x0KvvZLW0H0hH5M0hl5nv64nXjUnrq8rz2vASXh2DiKX
YGmco7AhyTCi0zZJj2tlOqlzNVbRNoUHupt6sq8KNjCtWzcsx+Jn+B4s3eznAy50607mzWNV817Z
U/ra2Fx12KTPl+0Cm8/XHv7ExlXsBGVKDlTaQQ3oc04Qxroo/UVPNDV2ABuaAeqhhXqKKhnNryUw
WZDpOYcz6JOq4IJeiCywl/rRktX5cjp5OqtYx3luhzo8PCEyfWVwG95CAN8VFEnbBBuDoO3KemdN
0mc//VGuCRGGZOXixIrirEs+dR3vsanxexV7LUA+NwRFUuvkzz311bqdzSU3Is7tm8umNFhsL8z6
H1My+Uictm9kZS+HJrfu6HfQ6wleFSgWz8SZQlQxCPrOFQ/30k3E6zlqw1MJ1mPHrpybyzfElv51
fSUIkbtbjwJmGnd9zYVdnkEtvZuk0AgpLkMdBtnZjYh/AEVl2ZQuzBBpFUEl2kc9NcXZatPXrI7y
oCUTnfhJFuNlp3MBt7eYkT9Us8WOai8a0KM3fujcucd9gfc35c3E6Xnhp1yyi/OsC0/9+nQmjZUH
cemM36HuWynv4VQv0+myEzNdpxAjHMofcQjkDabMmhf3wcnrFXmOSpsrcaddN/G3ELixCUmGepdU
Ay0/0NANgRmZ75Jj4XsdOwJrmF+/nitGxkV1a/G8ymkFnKE5zua9Ea5hKTM3cl1hE0LVTVxTprPT
7BROp5uxYtG1HhtPXrOscCDDHEzxaAyPgmJ9uoiOHhmKGBsnZtenCyr3+LQoWj+6gsv+m6+74yo4
3eNSYhBsWFWHJiWTfD3jiEOAahyzqlEZUpAt2dm2uWrZsN2kNUjopRwGgMqDYWyzay3M50963FQH
4k1KWCEUV/qUPV/WStkXzwAlr+UyPYR6imjLanGfUtzq9bQhApaDsecVQFKeXU8Onvy2ZiNdV4Dt
EDrwNZIJPjt12ewAnTCYt9vkZky4q5ZY63PL2aVNEx9yElUgjPbNDbtkc5WYMellY2lsMCq3NyiT
J3+AJ7nLhtENqgr76RSEcVN14zxu0JDph7ZeolWnMEBiF2ayUwLKCWaQZEyhk6Q3SF6rpnoM27LH
/6opvmtetnwkCqa+0suMDLS6/5hiibOnzyGxIBTiEf/RZAPWU1IRG4kfE8Ht45Wrw2podtZCm6Sq
aC0NalUdWyt2bsUAj2BcZrk1RzC0bAXNoWwmmOJTJzdLe2OI2Nw55iROsHafBy2HIuugx8NN1NhK
ZgG7bNSXq6XldapLNvu1zasccmQx5eIfbtftLGuMD55WYMNp5UDbJf7BePtgwm2uMngkqqhNI5Ma
pVE0aJg0ldhS+Uq2L+lCwdYrjApEU4LNhzVxt455xAH5MfdwOQJFx+qesfm1MiosmVwDEpNo0y3q
mZCPh59R9vwyU0CbwNsPB3khhl07WKecBJ4oj0aIZFjCFI2LR/gUxsxB7O+1Mwbo6b8PkAo3mojZ
tJB0bisXoTJOPPmW1dDCkigTpAc6whGzkjo9HJw3mRiI9KAXQF/WA1zuVqPNW20kUxmbR46jYRcx
Agigw3zXovhaG9urpGL/xZAY0fN4gk3qoowp4Ml52ktts/icUWYBwaISFaL2hFKFRPFGgJ8u5l2U
pUTJtPqZiXzmlxFbpp4OnQ+9RTs0Saz73VTw1q6dDxkW6UZf2JaSIXkVU+XtYsgb2Myz01RlPH8y
erNZnzD+2TknkFna4euYaqR/Czf/XDaDSUYuShb0I9yXDgovEEeBPfn3aPEIeSHQIVhsB6FvRRFM
NvCCixUVk04PhxpUw63gso/D+T8bOudcxOagC6sPNFV5+6Fu+am1o7c8ijvH4DXFKLzjkBF3Bjab
CAUTQjcL1m21LlEa5r05js84HpGkXqo7SCU4LXhM53CcYNPkKFivU7n6nQB92HdIRTYEA0CPpcwe
RPycWdUjMUjUyJZ+1y1TuulxyccJvJtOQqBNTHTSz2onuiUhmIxbAct/aHa6slpMhmT7adCyr2iv
b6Le2Tdy9k7QWUhSGdPsOoX3EEB+cZGb9VTX63a6MJC6zgZOPOX29W603AcjyZ7ruThTYEy3C6J/
qkDjum6pazThnUWa2PSNWGr2ckR9hJ+HJ8dASWhFvcz5rklr3+C9GN/qrai/XqagJWVyIDLnmJus
sDpnNQzamlqPUO0ar03us+m4nyujbK8iLRkfCoSwG/QbFJ4reJVECDTwXNnOLvta2FHnZE083Wia
gfWJ7a2bdEG3ohSZoJiwLXxZaky5qJrsAgiRVVsd8kjsQx1beuGlr6UWv0ac9m3LOdSV1g05Orp/
OdH7iSZsLXeada1GLJOb0LTo8qgJaK4Z7UEECjQumGECZ2aJKgvHU7qWZQIgcvBq9YeofawKjh41
DuOHqOaVknhMUVX2mAUMc3iaQSYxv8snaI99dt8MCnssnTRovPS2kxNT3dHRB5dTru2x7UiUQRll
zq4fuZ44R4Tp+DmZPpspNhZi2534R5tMa94QvwCzDmvrwTreDhqrySN3/CkfO35LW7zqcHmfi1CV
55xT77L66TeDHt+YE83qKyAE3yq3790p2duevCsjjskOKzQ/rbWXFaiyzIXgishT11bDE5mz9QyM
WJ8DieXbjhqKTSGq71oPgrjZe/U2FrALpB7fzAnbGGBkhqM4XryZ1Z+0YUnYceurWS5YWDV8PI7M
1KuoHTCykR/yVhUbBNFQENGT+F4MKsVq54hDg0Wir3l3OXu9ifc0xvzx1+jChQfyDrGyITBIXUA7
0XX7HWtJpcpRUTrj6l/SdGYGgK3V948NDBG0mgWMLLyW+RY85X7JydOWZN2PWf3Zar64Tf2gu4ng
HabRXcuMwdG1wHach0xFt7qcFnxqHaIA8nbw4xHhWj0qfKs1hv9uTwHcR58uQOalR3KE/JH0RfyK
bFJtrd6+E9lS+qPWizNWb9PJrqfiPGmo1Sy1FqUOPVBvsIe0KMzpry1qL00XP5uwAVXm/eD+SOHR
48fYeGjb1yowhndt0/P6VuSGuJuJ6d+HyJkIkJoLycUGFTDeIVJpnsQFrhLZPuzoKZGChKduAJEg
BeFsF5n1OblsvOD4+EzwuomRovHXj/UvQLFV1OtAHzKYpbzH8gzXbawEf4t96uBp38klPnQ4ZOxi
u8GETcPBk7A8TNLyxPgbuGrlO72HEWnfPdfEEcOEfvQOSOLNFkOSeZh+4Ey0IfbK8eGZiPtktAu8
fer626CnIUrPpYIrn95WqlAfvVrumaeLx1/fhhWB+9Pi1smlM8jGYHm/w4EHOeD0VI2kMaybwAoY
mD2vtINKKWgtE6kAu+uvP/LPmD1KLLmawOPyJSi838KRRtnrtJvhsIfq4wZ5M7tBE/FvIq8epq6F
UxprI8TlNj8kEca8v/50d11bf/zGjrRWwteaB0kZChb89uPjVtHZtUm8j+PYOnuQp85M2PGxNb0d
ZT3z8RFnkiApoVwYqPoOCXagByG08sasTOfLaBbebaqGAwSBD0xAp6CBrb8xR1RzI0Waz0rurggV
gZKNxgFKcZlA5kRzFqqCTnLpy12X8MsT1eJKqGl3BIGtwplS7DAnaMg2kQVOd259KDxlxlvS40cf
1wncgIxYHadw3LH7N0EbkU1ZyMg4gZthgjBkH7pZN7cW0PvekXAvTNEmZ7shDylkvv6hlBZJ7EpT
K9/c9YeYv4il9izWyYYYm+FuVi4apzxMfQdXi+uwUkSKWbg6D2ZLCZOACfhlVhDkZUkLzJ2wPt8u
mnJX1mZyGtJWjaBaZcaOFBqMoRv34CVcg1aHDMe1j3VvkjeWSLRHQ3fl2trCq7aIbwOh9Pveyay/
wZ+N94Oo1RBUrF4ArGxb56V++7C9qGk9LffcHWiVuyr4QApyELqy00ERqEhT/EA+1E1T7sN6NOFn
zPh71+sDrDITW1TcW0BRlb1xWgdKfx5/z2WKlo4xzwZ6qs3rq8yAbI3Ud+HR+WbZljsKNnNbr3fb
NRbtYa5G8+ytvz6t+g99LB9wd4H1MtmgdtYAm7ktyoNMO/dvXu73wDgjFrHOWNDeuWDX+rulHva1
sIwmc3dxu+zbeN7wOv7Ny/x+/7h8hMM0x0IqLKz3aQ6UYRbiosgFnElrv4LzvlWtAt6piXLoeqPh
3mBW/et3+P0Owoca9FYCuwZ4F8YlQPkPwytCxxADxAhIm8ohQjDy2m296A0tTiYAZ2ifNFI+jxUK
4K3ZZ93fbCHi/STAIbeCmbZ0GQOxh78/O2bSGVRKqulusGsNDATT8Voa6PXS9QNDyzvWSFn3DKce
9LLKSGy01adf34LLtOHNNrZeA+UIXklYnnjrMP6PQx1em9aRGCvt0Gxrvpqb7lCYRrtdMp3AhFYl
Hh6bevcEVya84UaaN5hlww3qpftRy5zFj+GMb7uRENahWNxHvSMZqmw6C9V5vSuyuL0fYWkfrdbh
6/Sxc24a015Fos1n5CQR7KcS1cLo9ZgpQDyJlZYff/0drfcHpWMyQbZt2yBF2CMA+l2ZMCNuMRuG
P7uBt+o8Gu200+tIEPxQKaJF+RLeEOe3uNo65y7mL2jywq236IuPbgwHnoSsX6N1cc2Kw+jgoSNG
hZvCQAE7J7xXvqL47Q6asoHriecllMm4QzVgBDXMuBOe4N0hb+wWtGXBjWNyFAhCF2hWCmV/sZsA
ot0CmlqteEZJ6ngtF78NsX6o42mXtU2Hq/Ti7mpbAWfF0f1MzMHWDsf8dl7qz0ubGmxCw8kixGy7
4KaAJ1CsrtEl9I9aVf749e187z1CYCjTXlBG6Tgcu5igvF0ytUeKxQImvIuydjUV1lpiZdU5icaP
6L7DrTGYZJ71gpAPew63sudrplbtHjI3R4ee5EQU0ssjV+Q1S0sVXzXo2p+amWwqffGWK36LfVYI
UOi+TeLvMMTacNPtfaar7wuM5KswDfWt3jMesfrO3DUSKl9BoNlWs6vPBHUMOzVpRNWOhIQuJCX8
+g6Yf9qtcH9Zs6h1wyKmGorL2zuQYm+Kh0pu7YTi8Mbzw/gmJ3wtOLRYAh2cOJQlbr/vRyjOhlZo
gJ5NDF2ydw+zSWhKGoerpKwqPiXRCqUlvHbZ0lnwc0kMRkFcszDtSPNbBhG+3rJG5r4iOipx0+2A
cW0wtwNZTDFaBWl+xHbgEd91hP2e85Eg2h9j30JspRe4KnrNOeDCpq6jMnFve0jyQZyjafRUDtxe
xjXZBFO/twFA9ibt1Y4mkIWu+Ego5cbfzL7f+dZc1g5VommtmT0mR8rbOzdP+G6RkeYxrLNeYXa4
t+u7grFGuh1FpK5//aCcP51ceEVYBtMAmGgS5dq7wXExOIXUh54dFujaJ4WNHMWqi6/qpcTZGdri
Di1VehPbfXwlMSTZ0Mk3tAnc9Ek1oMz4cW3p3L4oLzyPkX0doibbCRDVyT7N8P8wkuG9VinjRf7b
bU1N6Gse67JNOT5wY9V2ONS+Vl2z3MmKwQkmhOoF0/HuMBi8A/U4lee00xFyEgKxi6EffBpV3t4D
roQ+JrHqrkYwiIUemFhmElZn2EsTEDeiSMaYPFSqWHLBRTp42czOsWCzU2Abf25hslyPOttyV2fZ
rlsvh+40Bw8p1CcLJ3m/UxwzGvLhAi9GJ91VeP08NQiBbqRerUZmpf4N98kcOFIAHcRxpe28tki3
nYq0HVELbEaOsIMYfJEKlBdi+ZsX7S9WC4vEMy6z//WUfLtaOtvOsyJiAum2AKD4U6e7trY4nCqz
IiyZF+LX6+XPn0cHx/SfEgsikPWeVGJnJVPYpbJ25DFRgPwv9s5sR24k27K/0j/ABOfhsenzEHMo
phcipFAYZ9JI4/j1vRipqs4MZUm4wEUDF+iHSihLKXm4u9Hs2Dl7r13zNDCiwCmRJv4+nh35m6fB
+LmwxHriBK5vBEgCcKh8eh58RgnSFMLe0jO2iKRmCmcYkBaSwlG7ctbj07iQBkXrEjvZNbBX2S7c
TFqbCgH9ipgH8IoDeSpjxq+CjoNK7/mqdYg1NIAMtaslbyVxq+a2aNmunXI53J2o4eRJ8munrF7J
mCHGonQIZTFZdK6RvzIrkpvUZQJHUjJYF4R095XPYTeTDJn3cbZlOPkuq6AiANB5h5TxShyc3Gg6
DO+JOLgT4EJzY3QL4LRq7kkpYafS2Pk/jtY6o9RqfBE/0b23NnBy5xuwJhb9OJ6mAFbGLmYJEpiU
66dB2QqIx3KaFhmD95q6BC8DR23RgQdfntXJZP8gPXX6Ws7sb1nPOp8lSzxrGlhEAzU71JJ63Wa1
fEiSTNvyuVmbHCD6qva8ag2AiiJAgwUwT5Jw1Y/fzVnvyUTqd+NpTGYrunDrjuyt1UgbJ5yWUzeN
zfZgA5/kYWG7SIyBekCNMx/i2B5ipfsXhqRZ0iGBPgRK+HvgCd1FGfOf6IIKoowCtW4rBu3M19Hd
i7a5xO9J50yRNI4QmifUMdJL3IYzflmj3XS40HbowYIDSQZ8djmAr3x2v7iT961gNrrKcts88HT2
Z/RL1oYdjFXsTP6ulzklS0IZ/fG4By4fH1M9XkHjFKgDKp0YC8AqDiy1S2K+jl8/XZ83Y/Q1SOu4
swc+DRN+/fenmTT3ysIJpHZE+pKjggZihU6//c0z/Pls/ngVomRch4fY+UnZSQOaCxPtd7Aeib3q
ZsXEMh1fyEG9bAMyDhXA1F+/L+Of3pjFiUagKGxwmHF/f2OybASd/ELtRJK2MB3RmCXKbg500VA/
kC0a03EmehXBiemKr8WYT7t+xAE6CpyUeZ+8zfnDr3+mzzvZ8ilQl7hcKnx+9bkfUy9a60CvaUtl
6UtVO9P3P+dFWcpYJB/l5a9fbhHm/q0bwivQD/Bs7iI+dxrvk3aqM7m9RWXW7vzEu2xMk3xVzSk3
MGZIzWLQFBrkSth5+qXW8UDrHl5ll2QwmgNY1N7IWuOBdZL5N+f/ImT+6ccKlsN/WXlYrz6VqmAb
6kngjdnRAkHakDNvciXduY77VNgB4+gqSdumaB8ttSBTKr4iLcb0lGjVk9GMS14Rw7y8Ns0wqUj1
8VzrciBQBV9s+s1t947Sx/Vs07VX3sFqrRuTsUAnUOYT3ZFi3xObmICclTeLeKVK5JiLUDfD6hWa
OrvPwtxbAbdlHM0dLSR8rwDYoBV8NC1da5SuH71gmJjNb25F5s+fzSK+xi5puUsq42cJdABcVTFL
rXcf7YzJkWJFwihZEEOBlMST+LFjK2HaDsZP9b3+8TZRI5GfK4HI+R7qpojm8Jw22bHWO23j6Agr
+2XUNC/+8LYQM2DbAgeuj3hIFL9tARo/q0A9x9dNl/6Zi45bX97jX27wjP9pjTbMZ2ggcFZBXsHe
hI239JqnDnxxCJf+7AdOszFSECFanmybASLNr1f/z4uftkXA8jIRu0Mr+bTKinS26h70Frw2QBUD
H4zJSkhK2j2/fqHPzmckiqhtwdnDVYKF5n3eaRAORpRZGY74EiFNyqjAmLJ5Kz1VvudziyjAQ8iR
LIIsSPUVocANP0wXTCC/e7Ee6virydQ7IYjvTGlMf4WpKZ9vtqmWMWvJvBtJ2JksFbRGOcoVgBza
b46Bf/rS0LyiGXZouzg/ia1Lhr0mHNx6F7eFsTZzoPVNOdZAAhjUjAVNU2vo3pYR45Sh2Ohk/D4V
/m92rJ83SG6vDhJcekC0Pj6vftjcrVcbRr3T7eq7FRAvxcewBGo2EOSm372a+bnVs3xxdBCJKaVU
0r3P5DqrMhT1rVkj+R3ENquBqi9K3rk1gecZwkHzxAxqVugCiTPDgzlXT9VYZRdgkxik6+Jr7RvT
RW7Led9zVeMukDHMLmg9guTsL1JruPr1Wvv5HOUndijdaecvXapPtXfjjF7RQpjcedqU7KqWTCUN
T+6m0xk5ov7S172e/6bP+g8zMl6NFaFj0mXb/vwk5ZQOQyXNascFnyVM/hOz69E8p5U97mNy8zYD
sSwMgbtDi6LjxNXh5kNmw5VS29BB0ddJydQ9Qlu5Vlnfoh2yjCNqBJIMGQDVgJMYyDCpthz1BGML
AdoiIygNZo0m7c+t8pbdLHGQOC2KRdvskpuMIeSqqKx4D5YCRk7Wxqsksr7k0pwxdaODrSl3wxmd
3jb2lvlXNAQ7ZxH1ct2GzYa04EMOSHC8HiJT/bYMj91E8XKjjqgverG0cVzVdTts55ll+Ouv8h+3
DdeibcOHa+vYHP6+Tdb+nMSNzbYhJhVfZwXKX6Ae85YRBxA5pD+cgcyFk8D8itKMhr/DF/2RFDdA
joMk3gxHb0JW8bHXF+aAmnhKamRGLckVSpnPH2pguzagLyBwPhYoxC/jlC/h1+9kWXR/7VZiAmF/
Zd6DSUM3adr+/Y00wka1jMFyh/V1AsoylOvCWx4JO+5Pogm4bfhz8WzjFluD/v+RLP0fxdufIYzs
v2RHeY7F7RB7DiTfv79+AAYCcHtZ7fQc4WllNuO1kSGR83PEY5YM7Af4o/AkrTg7dFwq1pnNCTlq
SL/oITJqJbBq3elesRZYHXecXYgwPTSTIHVedKM7ZlP1ROhEsvqQ7KEGMDSkMdGYbuIobp6cehHQ
OejSUkZEO71YZDHjooDCoHrTyMF+0HMSEPTg3PQm0WHu7MAVZVcpRPDO/9AJ5pr+3W7TfFf6eFIy
D4Xur7+kf6gsCNJkSrEwOjmV3aVe/sup3CNvLVPgfjuJru9DU1fY/MKC5LaqEx7DWeXgtjKywoBC
hjOIs1WUPKC3qw8fysVZ7/AaNcCsOK1v8mV/k+49iABSG1T9XCKCXwt4KKGnF9Pu1z/9z/ueb7pU
FDz3BPP8NFbslIbXGa3CTvPtnUFgX7hsFdlkortYBBx5VPxm1/upeCYkhn2AUQQ9aPoB3qdVFRuk
BTQZw1PUYATY1MrDf8px/CFfbD++3g4dZc/+gvkBn0W3KGd7tRBuQelvGtlkGwf/x4Jv+N3m8fmg
/PjhiPK2eN4+hkB//zLdCTy9hquaG6G0lu4Ram3KiG4RJhOm+TvL1z+83PKIY+6xDC4TPx07We20
aHez3eAsq9YrzpNGQWW3rB3ujj+GyP/dzJX/WZZOHcoDBch/xq7sqte/Wzd//IkfoBX7D6w2zrK/
BTisPpgpf1o3Aa243KUwrnCMUDdZzEH/Zd10/vAZslAGMyZFjrFoMX6AVgz7D9CPqO1/ANOZnv4L
OXP95+YOreY/7sGfFgjcFX1pvnOrZR5Jvf2p2Da9oS+dfFjUjJS/I0SVbURkJCZoCiUNTuHxL5/M
j9f/K3T4U3H/4/V4QcoR7KyfFyRBuW1GItawmdk0w9kW7z1siXAaWP+/fiXT+lQlLq/FdYa9IOBC
4/00BSUixwRCiqGfNgNBxYXj1CuShoxDiq3tIotokHfEE+xyU5XrZSb95qL5vCYMPSOswSbeDsgd
wtZpIIo86wDNMFwWzSMXb1RPie8CmXGFcex0s/06gYBkWGF4hBoitYKyWMw5UcaDVX2Hto6NzM+M
+4LZdb9F+iONEz0N/Toh0ZdA12SOyD717O/KjStynYYUvVibd+/ob+Lvwk3o8JQe0UdRPl/jR3fZ
O+QkdpJsJsQ4qr9JUZmfJA6Vfi/tDo0s2aD8KJ0XRY9YtNjrzVjiyk9E7pEZ4k8eDhWhebt6triT
A5TT5AovA/VKa8OYCDnwm/ci1Zqj17qHDyGZ0ePs0LjRlJN7D8M0q9dk/0ZH4n7mE14eou7H/DzG
ptrYEYo3mFpPWoHUlUvnTWpjuinJoJ0WTTPFURzKupEEpGjNeYpzeLcd51SkcxDlBrCZtebS54Hf
AuFAG9FyTe0T6BjGQpDW1+Bv0EN5XGvG3ruE+wdIHVlVHC/OPwOdjKMFG/JVOZOFiaKdlBZTu51k
j1KbU4iOYrxjfm6v84Len8QOkdUUbRGtcQby4p0m9aI5R5VI9DonIwh4MkoDpEfUB1XM5dBdzGWm
W1C6Ix4dOgr5DoMkbgHxKkw0lItWZelQDRFL3WjzRYeg7RLO4Cpr4OPwhGVWjALFju+UAaiAC/+b
00XnRZUpqzRf5XCadUyLYTJQMy/X4MjKCKspjLfULbYWlp5V0andopT9uHdmEVUN/9JH/qWFIQwL
z7lQ4ihqhoNZHy1Ry/IOyMCOmO/Qn/pTHGU7ZWnnmBbXpg64qZIGTCEuIynFObVshKBIpdsrqfAK
08cpF43/AEEjtIb8pAfjd5d5E1a4BsZzwZfXLO4DkEglZ+oQbBjMZOG8aESTgGZNZ/uX5hSLSysa
v5LH9jgK09045oDr2sqIvIq0+8gSZ8aX+mq27AhKTsvYk7byx/11dMVJRFm1cxvzKdMD3gCWGHJV
qSWw/0SOvUuXaOHctbyV8rjt1SR6FTov7Q6mdiBivAeu6AxLpNVNXGD9i6phopnBAC8qeFAz7iH3
ipEQolbvnqEPFxoOzr7ke7D1+muA8vLPS/z/s3OT7f7bv9Fl/5OIZsxqKM/+89F68foWT6//65/y
Rf78o3+esb75h8/smBNsucbQEOAY+3HG2n8gn9H1ZQpl+gjc/n3Emu4f4Dvwp3IdJyTjY5r544g1
jT/IYFjACbCZsAWCxPt0pP7qiKUj/6kKZqat0xGko8Uhu8xQl1P4LyU8SvtgnJlIb5dEA5sJtIh3
RtvEV5qW6g+xoww0qcKHBAnW6ZxY02AcIfCrgz8kYF5tM7lqJDjWEDu1/cbGG9zP2BZoXFU8PWdI
/F38wAEesY61yn/oI+abJm3W9ahZOp6C/FYCOPjCkM9ZqbjrrwidfuD6OWq4Mob7xKmLezGX5VtH
xOZVoxfp3rRr/+iitjg0ouiui2zkASHIE1Q9GyF1q4y1GcH5pHYx+HJ9hYx6Pvm6MeirpvOnm6CL
eoLLEg7Vo9nI23J0i/mWzGWozG48F3c1EJWeqUzT3xVGRZLYbA8GYALgh27o20xrD6bIexnirazf
NM3vmBNJHAWhRZK8OndjGQTHPqKzt+FWZjY3WFHrN7uxq2RHAy7rHzRDBG/VPI9fZwOu+N5sAkkK
gWdRD6QDOp0kwAjNSYO+5IqWfDkcZ83p31XkqepyjAv5Qm+LaZ1rFoCWI//GtCdI+Gl6iCna4PIw
7NF3xGy6XzFt2P3Bcmlbsns2kpTw2NWhXI01mRd9U23Z42ngRwYpo2Ew6fd2WyXPXW6Lt05qzbdR
b73LwksmjwpAKhJPBlwvTlEPJ0pIBpgiGmhVOU2x41OxjZVySA7LW3gAoUzqJZ0eyJswlDhbuVZk
LzOL45a4UI0Gu17qR+y5GdtpDkd0FkEe1tEUh4xgBB3qDpcAjH2iAK2SkZadmQTDl4N31OpUnFEP
fusKVstYoi5ZJ0UFPScR6R2BBgJA6ZxxE+Z9d37krlLEgzHcpbF61ZE3hW3SWe8iL/xHcj9Y5IYO
v/Qlrj0X7WIO16Ebv1oGBsxA9PifR0esYQclOz2dVbxWRZCcXFXcLuwbtuImPjvO5NyQVBs8N02e
XIghad1NvuSKS+X535oCgyJ2Vy1/6puxA4FnOuD93USMNOU/IsuZWMTZR/aNvyLsPq2PbWlpO5gH
ZGtPSxg6cZPJOi3LWwjO+iapDFvubCrjsLaC+9y2++dmCVrX6571Ds3MiVd936LqA8HnWziRivmV
oNQufuz0Kk5WyRjDCi1jNyUaBXThcNDBC5KXQAnqc6LrSXlgGgRRHHJz/NQOySjJphOq2laUYuOZ
co+4+jgbALPSV7HiLSxEAu6R5RpXLQogL6zdxn2GSgF/PfSFp+FILjr7EdGR1C65AMbNlmDNuNvi
FDIcuGmtOeHDHCxnO0zjxEGPuRaWq146Gc+6Kcrx0pae6C4A8cOhNyTK+juCFu3yNvaHDEyZFxnD
o2J1cQZ7eTZuI3SA1SoZSC1aYdOaWWVQzfbksal7Pc2dA3cbIe+ytkJhnGh4Yb8PPUncPQxyHmyn
pl+HOzV/QAyMS8Ku0ux7Pqig2VgRJJmwziS8MuFgrmYhLYat1tca0i1xs/Vrau73JkipilxrEBt4
ixnQj5ySM6whMIZG0Ng3yPDKy7J0nDdXw6y+R0sQoJO1nearFeQNkYBxJpckN3TgCb/FJjGaX0o0
61+kDTMNvpRhbwHTib2j1wx6Yh+4reckJM7OhBSb68ghpogKnOTWkA3Sa1cdGazVirdYrA0Eu9wn
YmzVWHUyuLtp2QzPuBD9ix4H+2PlpVMRDs4wXXYYu45lY9G+aOp63LAPMYcf22DYu4bC1BbI4Bqs
HlNYP8WfkmrueOOM3QQqpDRvQejFSFqVQ3GZ0YU5MO+AelHno3Ew5JScFJoqom4aeU9IhPVYKHfY
GswrwrkM3ENH2anCgiOywLaKQWUUfb6ycN+kG5FoJP4KaFc7feqCc10pjZZCa3FJqlCYxXZZX2mq
6l51QFwvyWDYD21sZAcXjO8W8kV0y2mZ+DtJOQ5yJR2/SpXYbyYt/fuhKYYtSeh3AdsS1Hiaeu0m
7qu7tLOZ5reMO46SfCV95xvE8JGkYK2LtgfmBQAY/6ytemvlpEESb/28J+S2zd1nxBF8rV1btqeM
Psw7esUuLJPKZkQY6PtUKULlvYIg3crRzWGvm4iA856yPYcovC+KvtpwOxguHbKMqgUYaqTbyeAN
K10Y32ukHecuSi0cgiUBAuepsGZEEs1cfZH5gFYvGgvOrrKv7UNtd/0J8xSJgRUgQwc8mUpeHE2z
b/pusmjQZcFV2TAhALXp450rmzN5Q+1z2jugBAeQd0eQbOJUGGQbhBIQ3q1jjahSEjzZoQJmccXP
ol4g6+sPmdG6wHjJNbo1PRkfEjCcRBW63rb10u9IS/IvUHzTzRAVibrk2yuf8SMh2nIUmSCNcnaV
aaOzruq3HrjfdYyk5JLKZYQrVxZPk5E3AOS0JD6UlR3T/u+aTRZUPc+bN1prQ0/cG7029DgsGJ7d
GJ0213dlm2tH066aF9PAWr0RNo6jMMLK6q+ZEqNZ991WfQWSYL+0ft3fjKQFWAdgodlTNQghriZb
5TyMqV1+rYZWfYusvMfPP1aNdmxpAtJW0NMg3fai94j2nlrswE7uHWtfaTFpiRX/nGKggSv+NjYz
XfM87gbEKaHggh0UZpHCaZ6C1XYGzAEhX64B4LEt1UYpMlwZ6ToFOhIhZVg7GLOmeVDvDjoegk17
/h1rQPfuDKo/kJtRnwe38Y6OltQ3WVWh3G/hy8RrB9nylxys/y6WRXtK4kjf6W5EMkJDckDI1TV/
TA3A46vAxTJKNEvVtysv6/kJ+5jfXEDwwb5Jizbd1pM1v8qgTO2NHK3plf5w9E3R9bQ3bdsTZSF8
W8YwMKc4uzaIpjrxxXM3Mvnj5UoWpE3RJmzLKwTq8y2FabweE2LfQjvxBVLyLp9ZrLDud4zmq5cg
6xhvO1Y5bEcNVRKxEYSSKQChz2WlXLFKpqZ8zSaYPDZ4q1er61pu5Q0dAHzv0UlU0nCY9zjZweNH
2oDDm6dVSprPo/KF/AagUk60ZeH5JrHTa/h5K5cw6mk8N21d3lcBExVkhpVzWfmkoJM1lrSHkiw8
a2Paorpm15/WDWrpeU+xU9WhrkfiCwmry74zsE22JiHq8OwNsk5QCtBYgFRbrKxxki9+knLUELM+
XzWFpFdQA65/VapyNjBn2gq2XpZdWWC17NAbCiNbxZOtg/rOQdOqxuiIbaL18kXMKrgH65r5qLaC
+TKZYn1fVmPZr0d4Fk9Qy/r4DphMcC3t2Mo3bDD+m6K2VCGRu1OE4HC0r0sxOcc4r7BSJwXaV6uy
NLWC00tIsuAz2+sJCXG44Gj1Okbj3YAG1bzQLwfzzuXUWdeu6B7iWSV3FvSM62ES1G2xI9sbWmBO
v9UD9JiUJJpOdrHqXXAGvXDvejdIrtJ+xnSh+9l05eBe+FaI0bqlgVNwElmVINhUc7jH9472xo6X
bjmf3S3Zs+l3bxpryBex8yUYg8rYEvDl3urd4JJMkDKrAM7CtV+auOuHSQXHGFbDc4a9/rrQG+1r
RYDNnT7FTXIyW1Wcyn7y3pmHJzWMhLaKSNBxijf6EephHsZpn895f/Lw4gCG9WIdfw4J6eUWZ8I0
Mc5kF9pLWbj7SabaF1dMeb/JCcvb6cpRp2JxO3tTousr6dTWxpi6pluVZp4fdQZ9MWqNfnqc/Uht
KgZyE/+tJ701JG6U5UBWzqrKQEFoImk2QymSE+m6+sEouqdRV+AjRJWQoDt1/CCmfIkqfblMufUR
v6h/SEgW4+wS+LsGjwbWhJQxTKYB9AabV2hp8QP8BJoQDQ5TViG5zm3wXnn2vnWt5jCKSGwk7K6t
TSj9zl9GRlEyRd8jZjBXNnp4KivyUGjQcDskAG1XFeRRDZQI9tocewzKoBeux9KJD5Jh49aA1rU3
WtIkpPC6b0Om6hvG15G/IoodZQvxCvc2Z9/W9Yd2P+SBeKGcwQUfxLdJydbcdvyg00wE9CDJgfH6
KjrVDkFldYA4eBRde+5wSlGAoPIfkuEbtwd1MACR5CEncUae+aDeMlnSL06HnATklOh6JJ6kMpf4
u44DCwS93dScGkmUgF1l6TFos/519uXbXGMNDYl1Wo5TbmN1XJJ1NjXNcdLMGVamENs+jrnVJpOl
XwQJCquYaeVKksMMdaY3twmp5jeq0Cd/JccR0I3M1BlrXn2YtFpiLnIa/cqZHbEi+8w9W1V0z7K/
cQmS78fuwZoH+9r2Muz6ZN9Cw81A3RsDSoOpxTecCbAWEpTORUzmeLZKpy7Hbz3Gj7pwA2JiChel
fim/EMQ8viZ1Nl67s8kcUic3/mKaXQ9r5mAfKrwtFsypFpK+Dv3omXnGVVa3zVVWLHEPrdpjKm2o
ADswzXpudXB9m2hFwobzBM20/1rP7UUR5/LU5mmxloaO9hgit0DeEukQX5mm+0zJtoTy+RcUevMJ
M357Sdpdd1fEvLaFb3MtuCpvZQ5NgiVKYkExF+ZlRWzZvfKozac2U7BZck09y4hMeGWY/aYsiHgE
Jtx+9ctEbPPAG09OEA13kXBy7jlK3w4kF+4biPNo/w330S8ludHEb4l+jalp1jdUI9c5q1HizAYL
EladUWykJh0yWrKuJGbM9EjpGgwZr0gzI3RLaVb9olAlF+tY6/p3L4+UR6gUnUscAGXJzUSZKMw4
Td4aUyPPLSNKe8/EtHwZRUN7orPMPAqB0tbiukhr/SFK+oryOyOOMbXMFzPW3CszzY23FjqCgcAk
L9Kw5ns4dNxuti5CcD305jF5yCTcS+JPYH7doVkosWgI6W9q4aqaUbicn/q4dshDktgMu9bkvjBa
JZPy3HT3S4PkVTiasekzIDRAIkYXsRF20QKBnNLuDNyHoRpwtnG+1Hdx7qlXkwi2UGuNYm86yUuT
VvHJAs5TbvKFaK0P9Fm41+XGGkyjcy+9Se0BxFvmhRgnowWG1qTNxsSd6+1IA7UwZUC9JjJtKEr/
IZWJqe9qTk2s4FG+lIziPAxgaIaGSJhMBQhl4e7PKMz6QH+v9bG79Gc7etTHwvPCeLJwc2Q43+HG
JM2RDk5JzFQqUc/hAcyPmpdaxf0QqfmuVAghz8UIIwh18wj2ZI4nCMGDNqwmuhJ0tr1n2OtFgB3U
NnaIOiyPHSnRiSc0nPmCS2fzEpScWNthSJwwE2TVcDXT7gFR+2fNndsVJaRF+gA0EB65pLlky3ft
k+yK9MqILPtbnnb+I50Z0go4j6ikaweSTV5fgqggPLgR5BMmgbDOJOgSzR3EOd7uWov2kmw4YFhx
kxGkMqN5ZbxUNA4VHw0DwOUm2Ee3HkhIbJJ6uCCCvF2uhZ2gH5HLFnfLiHVzzb7eDWEN95u0+baC
10/ggVOEAOp53FvGF0Qd6QVc/5abGI4Ub/LzHfZ5HT+Mo7yV3dTdkxXJpVRuq4Yzp83zeyzsJThW
OpZXcC1y/t+CXBo0zSzMkHM6c4/SKexXzBOYG7pYjKsMuBIVDkfU5DlaHdqkYB6HoHa/ZsTTPbqF
4T+hxymROjaxdl35ZHWvWjiYLQOFdsK/qShhk7xrDlTiOYihOstX0dS1XO/IlJWrOlU16PrYFy+2
nABJuAAgkHmSOWOWUJcRHHUeMbi+843ZUKThJCWfwbVzBmIJNc9T2oKu3hluJ0+IIKzrAhXkPi8U
w85UWfltqZG+SyCERLiNTwhqWSBUzlfilmA2IF6HrSx4SAoS5upNX1RkeUZmAac6HFRU1Ic0aKJu
0xVGust6wDiEiUXjc+9yweKd+O1DN3lds3Ihx/CuPXcmmSlTM4zoYKKBBjcneu3y2Lj3PT/uN7by
XeoE7Cwnt+0ZSQqnT1/NtpvpWyQwBbaTMHSN8AHwRMfA6+bHtOy4dLE8XbgIYvQcg7HFKJ4SGI+7
ojTdIw0RL9lC1y93dGvzt1IW5kUJ0AB+VkbyQli0XuNeJZ1QDzIgT00OOmAbEBkubxPeNYgINPxQ
0G1kOVBA5hLafDSXCBp8GD1dL4J7wkm4zY8m28/kGunXaBoUfRDTlOaZfSLBVqcbNQs0cwrj4I+y
KXdQNHrrNBR9h+svHb1vjdM1X3LXJL0+w8RRhJlJSy9MlEfwOz4jEXIX0CCPYPgg5YJwKPE6kjB1
Gs2GXmkSpP4lSXE12hb2TzbsVACVx8WFLzQDrA6RoVSzt8pLg4YNKYwQ9fqkry/TIh8HmrTZ+Oyi
nlvPnuyeeZIa89zogLjBh7TdudbNHk6fhjV1rVmteIswOMbb0exSir2oZKTKscS+MpZjXnxJrd4+
zkGFCRcblXRXA8ckY1g3GHa2C2lfM1tUtn2tT+epJJxpuUVqAu3OKMVmzqs83ZhkHtyYRODVO5/K
qOHKFLRrqfPMk21lRxeY5KJhBUpo3kg91QeM8wXtL0ZlAKbYVa0+9HFqEQigd+dpcEq5WlIAZ+iH
NX20pNFpJrWeyz4wx4F/2c6kOoY5JxtXMHcqca2nhAn4BBS6u8oXLuUpXq4DTgp+YKGNbXTRAq6P
sP0Y732m+beN7xl0HlN8TbZWqXGtE/kGSyvOSchGzdWUm5ZtU4SuktqN4KrhP5gJsH5Bqi0XmFRJ
Dhejx9XbIoF/t+1yeiGagTCCNDGT23z07cX56khgHV5ym+X+tCdTPu63S8LIQ5109WmeevGQFjGV
dOnX6XUu86cayjB0Ts/LDqSV03FfYjKFVOD6uzEqXxnoaG/Azqb7lGgSbU0SC3ZQj213OuUchU04
+nlxyR1y9PdEqdLLhqv5jWKu+aqnfvFl1scG9Vk9tBsua/GR7IvAJ7p8eUeEJVih5brQsuLc/m5o
ctjStbC2Iw2FEy0dnOmW0123+mR2aw3FJNR7b5j3Fgv3VsmhviWNjycgJWUBZIAw7/C2smermdy6
DFXweIIkXW9n+itiOw9eH69AmNCJMurWRehhM5vd+yxfYI9Vb9G3JCctvaTZkE0oJ41+PtcYgN19
OzoW45lY+bhQM9M4qCm+i3EeE0ZgTK96lABsxkRGImQZ+nLOh28MZCQ3AWk+UZONDmdbGrt3GVcT
XLmZD2u/ccV9AzbqnlpUzCs9iD1tpTOK0ijbpHzEZl69Y0egFrUa+gAIIvTiu4n3LsNOnubr0h1p
9ssukavZHGHoFmz0VJSNW+w+ho7/fz77u8QpxEEGmJ1fjWj/d9OVr9/i1/wfp7T//gt+cOy9P2yI
8wi3LZPQcdTC/xrUBsYfQJBt0OyG4RkoL/7voDb4A4MrUbHIp3UMjCbT1X8Nal0UVDoTA/46NHWg
3f8rg1oEccxh/yqI1bHReg64fMtEoQSN5O9zWoL86ilZ5o5NwnBr381tduW1TqfW1KRqohnT5em+
IBClC726oT2T+IRE08ONzQMKx3TjGmZzmOPScS8QHbHv0gbknwB1kuc5qQPyYX3wwRutaMRxrlwo
v5wp+gZlpiUuK8cpkr1mT/UzIqm4XFdGwh0Wey01VyaK1t8wtfYeWgaDW0N5gx7SGd2gUOJWkPg2
F7kpyzYRTybOG9qCPCQmPfrVPATDTWB0abKnPdrPK5O2krmXY9rsGphYYBd7KLPXlin7CMlEDfd2
cgxxUaJCu2FIQCpPJqlnQiMdaofIPdlSovqF/h4nesVRw9Gt1rat2bdlHNnAuKNCPEmbK+HO96Pp
m+Vq6rpO82jBzZUd44qaKDursftXWmnjwfGdAoVi7SbPtoYVqIlsnLRDpesovt2GhBrTPRgGocds
f8t8mNg6N7Qgtd4r15yeMAL4JFDPZsTIRa+Svel7aKOsuck4daa0cDZ161kXZmEMnJGIpawi93Zy
tpP50kqKzrgzMY0aYWNPUmztgDnfY69KeaBH2xqbPNBxl82lMOVuYoBH7nsuFBEcsm0d/cpfPpds
I2erZQoDBNa/b2HjLgZhBEURbPon5DuA5Kd++bDiQ6di8nJIcN3w19gnK7CJmMz8YroyICiLVeHF
vXElPB8PEXm9JGgOqVwbUcnlutPHW5Xo74SRT5sygyE1YDw8VFxlV0BdzLCRhgmouCV7h7LsEq8s
rXeLOmSabbVNMmMCnQadk/PaHQAQBp13h0T2gNDNAOuuRcFRywnasdPojv0WsU7eP5oMYJkW4mdh
fUAzc96MoljS6AmbEeVOI/NqUembqwXguLFmVV4I0yqPLsvmtrBq7eCOPV0OiziaXEp/B2l5yYGo
j52LbUxo9sr10djNkX8BMaC98G0uzmVfyHPOsc63av8f9s5sOW7k3Nav4jj36ACQmRguzk3NVZyL
FAfdIEhRwjwjMT39+VBt+6jlbu/tyx2xIxx2d8gSSySQw7/W+lb0iWaZ7dnt85e4U8VtL1J10P1C
kPZLzA9+pFeKRps7dhh3KzJdnl3sALckYkhapWrezmQlFpqWGXwJs/GRmVbNbSYNj5OmsL3mmHiq
nGgxK5U0po/CWCFBUlmRiMea4iUSzCG7fGgHOyfI5FYWAxINaKVVH8D2sDp9U5P0oT85An2STEo/
ZVF131cNGUVzRoUBrkucPeruAkZPxIanjvAwOCskw1Wp7H3P1SOc+jP5gwxN1Xgsiuq71vF9Olgd
1V2webOu67Avte4dmlX4yoQaShm/QkopLV7BK1UsRuJJ9jz/E01TKg8+MwvLCXWT90Rfze9Nwqy+
KZfOV1evrMHpIIYbJeWO4w+36K40UZh1PRj85Cs6MZmLzwZURI6EmeaEFChqLPAYUF4BDWCeyvY6
iRg1F22ercmNjNxsXECEk5pfDT73LkmCGVACGjqutOHGo/nTXHvG8Ahc8dHpguSUqdwFSJv1O/IQ
7taTIzWsYiwemjZut5bLBZRQz3xLAlXLzZSP6kDlGW4tyEl64yTYQ9ecC0NaXmvGd2ZgT89xwr2O
ccJw6/ucrh1Gs1s/UupbVzc/qlqIjanpyhmdQOwi5nJbKBuMotM+v1c+kKiwa+3TCBbvo6yKYmcC
k+Avz5GZIlEz3GS9Cb3IDlgJO0KZDGxr72Xw7fCT7is4jD/tqn/inMUa/OvuRAMMjnb8TfBlyPH/
EgQouWtG1HNFR89u6StGec+dTReX010LYPfLUHaSNa4EqzqImhrroumLp6I2JnAmDKJ0yA3/GuyR
ZW3TTpFGsx2khGb56UMutdimBnNwwQK6AUQLojq5yVHZio5K595wN1Je0nA0m4dn5s3peQLBLDJm
Fk6vrqp49m7mWaf3kRexRNVV0DKMFKLDItS1H0Ahl6R05LykTBzBA6YTPDOXsoaVieIH9NaF0eoH
yPXD4E57CqmLK3yl4y6LYO/Ooh8PZKj8Ew5FLh82MyRay8FX+UH37DNP2TjDMtrWPtzVEuTDuuMc
QpxIIUWgfoHOLUFjyblaO4M/TwfPoRONYKgFH2KPvYa+0xHu+KExqU27dpG7tvQ2hlzUeuM7Wd0J
SdGWxwzFal430jTOaepU27Hs1F0+teK+FVH4iD9ri5+WQH9cMcgp5qUfILHKu9zPFTNUw7tTnaNe
CqMSm56pKY2+NTGnrmi5DhN9qcyo24nQe4yUV6xb8PjJdNX73Ttq815HWKVtIFm3VfLR983ZZ9Zy
XVoABxTkITolk/YcmSk22JJvHOcNbBGL8xHUFQWHpo7fyc8DsMyYS2i3P3VGcbYHHd9GNHdjvBLO
fR9HBxda0pFtJQUK4+DEcCtklhbZ5zi7GhjAVLU980lcDMyritdkgsxs2tUH9nHKkhuJcXamf8Di
2byr3dp6jEP1zSV0di4j3jzyiPq27VQb7gwvaumKxjo9Hz1tyfBUMDsoPrNJVq/YwFDovdT1JVXp
vbqt5qq3WZSVGl/8ebT0xs/N6n0icfnG8EXOjzQb2qgc5G2ntYPP5I2BQHTrVZ3g8lo4H0NCqTb4
FpT9UAnjA/ZCC+PT6bGDWujclGxRmB65zH2YnzwKBLZvghwdcwc/f7SpY462LlGbvcq8fp3VWt24
Y9Tc6FIjIwbg6b6q3AvPpuzkDTZxTgT1wD6vhxC/8BhvHcfwnmrQIwiqwnnnVJtiHcGYZB0G+u5O
8VAbsMNBCiOfcOk+D0U9DGu4c5TVmU0am8sompSz5MDRblnsqnqXYgfYhKxYZOBpDKzXXCPDW3y/
Pt9OO2HbR7XfkgWqz6ib+Qtbi/yOkKoPHL2wNE0CE4RA0MCQDHqNF0EXhwrzDqufB2l8i7m5eHYU
wNp0SsVtKfP+jHjhvzKZs57iXAIw4RJ3no2UI48wm+KRj5E+UcnJT7eO2ZpmmZknhCIcx7VUKOpe
615HKYr9Gk+e2jJqbrd2Y79NYKJPkWuBjjWnNHnLuth9nYLhR19pwySY0PcHyyzQFmO2rkElap+m
0/gV10qDqj8ScF21GAreAfv3j1aVyddgdB3s0/RGVquwxWSFracn5ubl4uucMvJhUzLenC5OzrEV
+O9VW49PFuPT6wSTX8pkwWbayilcHWRi9nR0mpkdrizUhV0sZuebdiRN0QYzna0AYDVulU7xnVkl
FKc1yuT01fQa45asNCD0AhuBv7KLIL0yZFLfSO0OG3O2+08zb4Cuml3rvZB2azoi2LYhrihvxYbD
VD18tfUwBQTox3ipsW1AFXZsFm8AXfJHNXjpcQjgbkta5rgtawmVRgYFrTw+J7HV0PvtiUWPlitz
6seMNEGdTys1DvbXzq2m9DDKIfqYkhKKBVaV/qbCgbeq7WDxBqZui72TMzZTO4wn08jyshND537S
p2xRHOroU5Sg4u4Bxc3PMLPtamt1Fqn+cDS+FK2K7jun8D7K0eoewZlD/VkeSS5PWEt5CEJewrxM
oAF5Nc/ImlLPpXayso6xsHzuP2NOH33XhXmGeUCG953yMWqbsXFH9yeLvWtGhJ/HOTN+dFpiZGhz
GsepHjDV7ezHTJ+gDPY3NaaxtzkSgs5ECjdoebHr71MXpliiHPr/SsiPrwWuB/Ds0AYom5Lyhx33
PTIv2tY271CRN3XsjtvA6PGNNElaP+PDmYe1UYz5lkigV6KgeMPWTz0slpjJR8LhKO9XVLz6d9CD
/DPfn+J26CxOnU7bvOX1YG29QBTFBkCeXa1HeqDeGEwzKcq9jpFxYMRqayHGHRtpDHvBiHnYJAqe
yZo+Yp7HpBrLOymr+E7HdniomUh6q0GG4tAUsWrXmZv1uPaTlHxPFEsc9UXT+c8QszE/qNL9wuh+
+uAeg7uJoamUq5qgx8SjgOrRYBCEfNMBoJ6a4dU2zcfe6OonJLc63mLFLe+otTHL+z4do0M/2+qd
RIrLL01Zd4uFZDzWirJKIB7tq65F+2MMTS/fUGbrPZZIP4+zTMLnacjYiZicR8e8ySN4CIzBr0LI
3OmOg7BxE5aMhHYabfcYgXyB4SWiL03v2KepEIzAU0p4kj3DOnzDYeMNt3RrNneutwjWBGDOTpyP
KzCo7dF1eu8NR/n42HDcGjcWg9MjVyUn3FmjyI7QVPJmR8wm38yapxMZcSrdu9oCiLYxGXysZ6+f
9mY9iPd+Kpojw+Py1rRSDGu+i4MPIzJaL7clTmBR27Thyq+N8d5oBsSZTA3fXBF2n2GV4d/QTAsb
qOv9cmJlnXjnOssgnSu8u8YnR0tuYdgMINTgcixKpudwQFxc8S32YzjwVcJduoooOsqZuPYrHA4T
E/J+FhuKcutjMuvuSaossSjEoQZyUYGLcB9SZbKCyVrfeIYc91D1lvIMPb5WpQjSu9zIHZ5hvHr4
LmNzElRGsx7VHRSL+yptOAX03ITj/VjLifOFW86U/nAqItJol1s4HAMPc+bPq6ruwm9zM4ur1vNS
cwtjdyYkgpISbnJ4FlckaGuTREkwTSfmqEZ49Fy/obpYltPXyufYZjJT/zLWfv1dpYN3NA2/eFEq
jZ79AsvcqrfNYT+YhnXEqguAzRn1cSoibz2DnP+RWsPEjZgAPOT/vKAWtm49JGkraAmNK2PPllRv
gH5xjzO5jOW2yzU/ZJhC1Nel+RfqyQI1r9TT7FsMGW0ukaHvnFxAo7spg+xGH9L82OOivc2Yzmxs
Iy1XftCOE9bfpDy3jh98K+cK8olq6sfMHCf27LbVO42gzn2xE/F5ZigFuTLKXqRv9LdYTMensnIL
kr3zkiEySvMudslK+0XFlD0z1annhX+aOo7+jZFNh9AdqdeLx+JHiZv9TtmNeuKx5yScyJMFBeU4
WkH3Gna9vModa8b+ZcECUEIf4axQQtMhCtlpjTdNPXImbx4AcKCVAdW6jrQoD6kTO28mP7mPQOAq
5Q6kdugODa3aVnpd6SK+bxFnGFPJFUSKHMEIkRkl2A5/eDL6EhDfPkhVbfMmE+Sl/WFdcs/cTkI1
113Vvfk9ObE6bYe9H+H6heFGZYkDABiZ/8VnwYL3VA1Hinu/WS6oLqYVNE02CbYzgRajbH2yoyA+
OOh2V4GX2BuwfDG2+DH7CtehoDMcCchHvuBDZu0Bomx3gD/jbozOQwE1QdK5sSRrR9lgyeb5769x
/4IpNZUEN7Jkky1JW6iz3PJ+yoIYLL/FwEJytPvY5ti5nNLoRg5vq6GQw1rxCGErIrmCW0DQQTZp
90irZvBf4r7/hTwJMcSxpFpmq/yP8H6hDDU6gKaPQ/M4oeQkPWZLWFUDxWi99Ns7zyss5z416QrZ
0gI1nPup5P5H3U4HL7Hn/Y5k/zyMtmJONtlNuMsTn/mZwBNZvzsKtsNGtoZ6qakguIdyyXfeEdmr
VxMbEZeBHN3X1odbIFOvbW6NL4w/jN3YdeLR7gfjWxMFHLy1F35xTaFxBtRh/NrFYiGB9/KGgmSG
ArTNvHhNyIMSR+NDXToJFVbEXbfTbKZX9K40GzGVgoOECO+GsinXHRnMM/ai6QpKhLjRWch2SAgW
F0P2aovSfOjs8ETxrre2l6Glu4wvq8skE8YPK6QBuSPaMnJV5+oy9gwvI1Doy7gZLoNRW9buJ4Wc
3v2o0uY8h7P1QiQcm2hNZI/x13JgHzulKVcMvfgQQzT7gg+O5zS7nO6ty0nfv5z6iVxwA4j7dPqm
ioa10+y9u+RyT7C6UhywFWMHa2vfhu28XCeYJjnvMEVpeU5972gE9heIZfpYjU0I34RJaDrjCTAS
v1wAotxZcEJzffGWm0y+3GloGOFfl3tOEI1dtPVm9ueknCgusgZuRMvdyFtuSaRr401TUaNs1w0z
ymUiumY1MT6yyyVrXO5byXLz8pc7mL3cxiaD8XZNRc+0ZpbDda3yI3t+dFSbvik7q96VC7GAxvtO
jC8AnvgmqTJTt93M/XI/SIdZOIP06rUJCAt8GpFD6XiELeJHJwBQ3f/799X+F8AO4xbqWomO2egT
FimyP76wunCSXkRsJzFnrZvKGEOau+IaZ7dIj0Vuesfawwa5DnQZbMemvPOwaF5HY0lA1XAG8P9d
WDNNm3GWMwEoqlWRp8OZW09ZbCRz0lcYklVPBbWoH+WAfl7ZiWQGGA9bxx3vIH/fDRRF0KOCBnpt
gUbrEBTG4FthdGJHq65DnqpOH6iZHBnpO8lJONZjJSLY4sE9/Zw0UwQhqr4IdpYZPvKOi1sqEm64
mPlrx5Bmz4pnKkqy1azZsmvPOUTx4p/qHA6o7B3moa/c7N4hvXIvSgu4dilV+AQhBdGezrFtOGoj
XJWiHJi9UQh4y+JS33tNSxsVJ5luo5gtDxgGhN9v1Zilp7k2cxLHOCsYGTpV8enqFo5q6mkOkqq7
x5fbPs/hEGxKQRoa2G+28UHz54u9NniLUBXeRjXhWqa8vtkFXRrtYzpKUnZd6aJZJN0ucafwUHiK
V046A7YV1YCnmQhnfOaB77N9aTPYcxMu4iVUMS3kdajfK1f3/sExm+Ah6P3oI6f0DBB6GG8XTf88
MhlhUhATPY5Vf8oSUKW2GVu3jBZnnkoOnVnij1dQ6w3MRVm15Y/rMMZ4xTmNE89mzlvVX/D18gaE
wlv1Q8fMDCUn2jlas6XNmHEnt+7eetuKn4yotZ9r/NkHygfMaF32NUvTOCQPM+mrDT244kqxSq2l
i220RGuA60N7kxtZyZeCsBWraOTjGwQUKE8xOJaMS4wTXAO7MvcOJlnea0xO11VePvo+Vq0+Y0Dh
XHYiaMvywTGa8GaY8TAw3jF1sEpE0Xn3RbpI2NUiIlkXPcnqRo3N5aIzmYvk1DDVnYFMLkpUgNOV
epV4SmiXK+wP66Ja+ehX9kXJamHP7rQ9uM/ZRekqbMNQKzD73D5jVu9iw+pWvYVM9+KDIHMZ3tLK
YJnbZR/7lHoYyQiNtoeyvqhtCRECUj/NyH9zMxDOTTxgLGqyJeiAqepY23XHubqWXK61PzNqIoyU
JoeE3AFBQwYYatPEVnkltOA8UV9muuMy3k2V9Vp7FaJ2Fz4RsX7FNMELYicoQ258qoMZFkvvu7vK
KvXyqem4Qmi9GiMkotYo1aFKp/b93y9Uv5AVAB1YHCxYpEASAfuQi7b507nCZDKfMhJ1j35Ic46P
gb+5rvqHyxf5j4Twv6R3/CGF/FTm/Od/QGc7rIRlyf/rDPK9/tTfou9NM/1M+fj7b/tn/hjIBEQL
aQL7/J3k8ff8sULWBkKjFBz+XxgflLBLG8WZrB2oeKi8/9S1LfM39hmAIQIhGssxbeX/QQD5F8yT
BNVOhghmGiIi/kbvlxOnItVv6krDk/XUGwOydesN6H+hxvcE/mOV1nrchb57XRXi20/fqT8TLf4o
WfzLl/5FsrATy01B37Ouy1TT48cYLUpmHv/gY6jxCf77r/YrKglvAG8B4FA0EkR8NPw/vgNJ0EPZ
xRy065NUnsKa3mk/cTlqeXa6m9rqFUpssucnDSQ+00z43d6F+2CqTe/oV2jxKBfz4hJK70nt3ahk
BL+eKQJewUtdI6ymZNRAVyZXlija3yEAf4lisf7k4wN88bjjLR4JHqhfIHFsPS1DiVpuVdrR3cRU
Ek5uZxAn7uUE/XJW5Fsom5oRxu4hYcSPDOrv7HExrS2Fa6auX9OZ1A1hkDdY79eRkHu7TD9CF5sa
IYVjVy8dkwtBzV66uQpvnhG0oOiXET4w+jOOYW2bT0ZhygbnYnMgLbzBOIVT+WEqzXUSxdteRWep
kkM4DR9timd2iLa9zumS7TuQH+mDG6XnKpseZf05NZL47bj6igti3rtMkzYdzUo3Jb2O3Ger9Oh7
Wh/tiHNE2zqUG3n8ZcZCPMvGEnubMeuTk5oP2DKRE32+sqj77NrGiPye5PSplX4y7rFuUcaaZICN
yAq4K7wkzUZS53M3NZBaZDbUB9NNw51yg3GjFnmbCVpwzShiXkk/ae+HPpCHOW/xMbal9xV6kwvD
GfnCU6QmtF9xfCoc5+uYBv6WukL7o1KQxyvdmafeuhrsaGC6C5V0ZS6NholIy51y7PlUaL6E6YAc
72mSMQq3+ozj5DMOS+c4wCZgqITti83sgQZilKspOgVp9hZ70amW/peQwdbK5Uej2qkhi8FvqBI2
oyGnDSbL2/qGA+sWNiUdoPy8/4vXadkyfrLD0D9vYqVwBP/gAqta4Ak/bymALqwaq5u11VmGshrT
S0oTVt0RncZRVnF0UOIpju3xeo608TUKlEUQbnGABnFdXtN482WkemwGw3KF5uN9HwtveoRaku1b
FbQoNK15JgebvrS11igpgfnj8lf4j/arP9+J/rBZ/fe2tP9JYA3Gj65wWen/el/bvH827397Lz7/
dvsevjd/O7z337P45z2OM8nf/5TftzmAVbZwQDhYdDU5S/nHP9xbrv2bb0mC0gJkzoW08f/tW+Zv
tLHAxFVCsdEtD9E/3Fvmb6awHWYhpo2BC5Tnf7LL/UqyWqpuGM5SvMwnwcTxyzQjIZs/CszW2wGR
NGFVcGS0s1obMo383Q741yv1v/A8wPD5Czke6imbqvPL1wpzo4IC3Qb0x5c7nPTnKa8PberuCmj3
s1+/5SY2zOHFFzvDne9CQuPrSLwyaVjZ8Xg1ZtWOE/Dhp5/en+y1v4Lv+Bh8KmEvp0D+4WLb+/l1
Daq49Ol9CrZVNG27tD5mzkB9q+3uLOYjMxKYa+QkYCgAwA7PRHszBXIJpVWEBtfSrn4/LP7lt4mZ
/y8LCJ8IEgEHGS6cEMZ+7SHKI7cy6I4Otu2soz232iNgfHnGLhPcjRESZ6WM7A4GBHnQ0Zkhiy6x
lVlpqlN7ufjovhpNoR6Czso4hnvBlZTxkYHorgIitSF2+tUdv2WYknvuxE5Z3DhE9tMBBRM2QaGA
9TJ0p0JNwCcBqQ8rIF7X5bypEaop3roxa2PD8HxXyWKTZMyUUPR0FJ8c4zzY5XkO8o3NMFcSBFAe
WzBziUHTsG3ap9Dh5sgq1zr2gZHyqm5e8docjQg3av9hFFc4a7h2DuJUTavMlofUf+51/9JrUmDN
BPS0Gt2j7J6DQVOqi5rcl3tB1XzespF14cPMXc1NbjNPrQljrz01bXM3OKmINnqwSH6QXU+Kkpi+
OAnh7sZWHBw8gmudd7s68aadgc7A8XJjEyajoxH0UnPTR86OroERydGTfM1s2MJH2om6ROB/cTz/
hFNuTVL+aHHu0RkiZtzvGKXSF1EeGtIxYdby7eHL+ORh6+FcNgpnIVdCQxx05+Sreeg3rgKUnDQb
q6bD+M4u6usCJTGOvfWAhcY0/VMleTN7b2sm2IvixxRGhNHcotzvmPW+9zTtSflRj+XXtv2GkQXb
JJlqrjVtAG5juo+b4uAB7co9d4eisw6DVt+So60e4y74Grq5cYONT25c+tcgmAxne8aqsQ55tOwu
gJmQy/JbKOogXpIzOfmJKokQerPvLarBgz2H5bsvYhfNUC0vDSg1pOHo6A7y0bW0/QViTH/Eh6nf
OEJDPxd+uMe5gt6IczN8zqu0wFEvghWWPexgBDfRJgOcNI9EaPXOclp30zXIKauC1GrDp3DGd9VM
2aFQQDtWI7yfm6iv4muun3eqIVbYzL177uy83v3vJll0tAY9TdX3//t/3j/zuNjELaPHb93P25sN
jPPf7pDn9+S97aL34k9+1993RO83LBoYUOSyx7H5/WNDdDAte3QXYE+G4yjRo/+5IQrzN8tC/8A4
b7PzieWX/rEjit84cbFZwus0l8IF9Z/siLSh/rL+WrbFTghjC1MwF79f96kSdpzBkLDdmbmTZ3sj
WMIZNC0R1Gh9TqCc4ohvwKVunb1/iXXUHFqhAC9pj5aSPiiG+Iev7D4Vu0GM4tohfIlh5hIVcYem
WqzFS4Qk0bmtr32CJfoSMUlrd+j2UyMIoPR9BSmEkOKw1ktCRdMCgNaZF84x8jn1brXOc06TDIbw
SI/jsLEIqoV0bSRls9BEwB2YRRBes6o7H6Ku9TZEN9ozYvHuZyqdbmrDg1ddzSmdLWm5rWqdnnub
9B2qoPE+XcI3ZhY4HzniCyaKMGzWhCoI6eQqiKJdKMnu9KabvGRMV5nSX3I91UB0d+/2+fjYLpmf
+BL/MZck0DRVwQaz9fgmcCqSsSnMilh/Szt1/nuU6BIrAqIEUjy7xI2cS/SoJxYVrPqGBMYqLER1
lzdWna4mS/tv1SW+BEqHqxGuPmJNA1fzcFXLprlFTlJvXmcRsOiGCCem9IsFcyGybkUTKYEpw13C
U0jSLXepgiwUSmhBS1pX6BetuyRj5cPQeG1SaUJQeGxytgnA96LT6fVMr+99FhPZiiwLLUJDtlkC
X2S6hrEuTlU64w4SFCxtg2yonrkqkSG8RMFypSFKFlONJdqctXqOLrkxcAfhhnYIMIqYrMuz5YRJ
veUTjM/MO7P7oqqjB8gkCbNb4oQMnImniSWolvweWkM2dD2C8kuazVuCbbqr+ubkWINlrMUl+6aN
CBe7gdH1XbXcQXETL0k5y61wzavGpNhzIja0ygHEPbV1T2w18JyJtniMNzCRy7YLSB+7uCv8Szbv
EtPT2TC+MUjwrslnkjWOL5G+/hLvi/wJc0ybYiJcyByF2C/TZzKAQyKqbXfJBpql0cOK8vV1m0v7
QbeD9yVNWrXy04ivauCShazd5/M9hBYyh8R92UB89u94iSRai09k7MmF7jPiPMy7La94K2ydXmGY
JNNolQ0N9B0FtdYl89ho0Z3iYHIg2YykZBtVoNoXpfPmhwlDltyKLbI4DOhBQPQwPvF62USQa6IK
nhg7uqoaoFBUBGmOi2xJE5JsF57lbPuaCvXEfzURPF4SM/M+ME3IK3fAGb9CbPdWyZL5lKX3Qlk2
bK9SDBI/tSXf4SE55l0IhMPBcLgESP2RLGldzMO0wR0lT01POBZHMbS6nWjIoKoyaj+iJPQAI11C
qs0lsGqnsxYHmNGIVqFj8pWBi5JSDBC7aLu7BF8JcRGCjZikAQhHp4/W4+9B2Utotl7ys9M8SgoS
LrFamhuDaAWpa5mLmN1EPMn0ieFWPLDvpTTi9/QS0bWXtO605HaTJcFb8IbP+Iza6BuB9PLWXbK+
o2nOz5GvcZDaSx64WZLB8FUJCY+XwHC4ZIeNhY6fFBR+WGbpX5MXCL/wRCULe4Sn8hJBZjOZ3lIM
M7fEKYgoN2YtXSTD0N4rkg9MHtz+W9Lg1MCOUEOfIetM+RGxZ51YuqWdbolD0/A1P7LYqJzZtBe8
e4nh3dqXFLXj1s2pBQb6CvKAlLXX4WzFC5IbL/USwya8Zv7QQIBhgyYVHlsm5MTFeL+vTdMuPztR
k+pOLwlvyEup9ywvyW9tLilw3beTu5eXdPhAz29LvmFJjTdLgNxdouTeJVVuLQHzfImay0vqvL0E
0Emihx2RdLGE0zu70u/ZEljXS3TdXkLs5BWMR3lJtg/oq/2SOyXxHvoZ/YDT3L8rfxTOIV7C8X5q
kIjpyfyBQO8Izy8x+i5zNZa0cvC2Fh6ngoxJJ+NHU2Im5/8LM70mFmeudORlO5/t/piO2EDJ7s+V
tbIHEw91ULl3QHDEV8PAJW5PVsnZGdRDBjsgvs+jLmdBsUO1nBuH4muyYAOobR/FWi8wAeLKEd6r
pvS2xlz7I8y4bHCfwgVCgHRAxbDKYQ6q3ykFLYjIdZCEei2J/3UYSQI0ubB08ZhdSAeqn3Bqqzm4
181CQnBjoMYbr4OBT9ISWEK7YBMGkQYHlCNzZ+d+tpYLXiFdQAu2YduHUPcRIxQwDJXlYetd0AxB
2uk3vHFDQM/MgkmScM+wevMeGitqJ4tr1TfijgjrWcO62QgH8T5klAzgxGDC22G1jlVwFQvCY6ux
lZ9jlJjHkDwpbqYK13NfTRs5xYAoGKgGtfsdfNJHF0pjb8VZuekCmJNr3cYWte7hKF+6NIaJUFaE
qyHWtEDM7JK71VE6KhXrSQIsOQ4SYuJKGeXiZjUc1UOkmES9Dt1Mz7sRmxEQ+Mj7LMu6BIGEN/E5
glOAOwn4ljoMxEbH25nH5zNwHOhOQ89RR0YI8gRW2/JadgmxSN9MDpA7jK3d1zHPCrQZPXZUmPJC
tJtMxMmxhEu1jbCUnFGKsp3qA9Sv3gea48X2Dy8OurfME+1mnCec8cDE1kxtZbwZzAQVSqrAoRu2
dFaFPxR49QskqxWe2tSBilsaxhcJ9QnH0NDH5dpLdV1s7Dru59sahgbubh4YXFXcZwjQYisCDdGE
47GKDXFbk+nEYzCKsNyWlhavNsPa5OgTW/ruLQPu3MkItEivyo553lIZwIrQu1gjTO9unsnrY4Nt
fLTAyr82gX+iYFoahbRqxUk1Depr0EfdR2Vj9URPw7zFKLVLNpPsBKR9w+MaqCk6cveFY+UEJ0zU
12PoZPM+nxTTWdw4yY3VMFZYoWdx/7LphkxzcCWVXZITgIDXPnOIghWW+pb9ra0nyonKLjplufIi
8m4eSieb0ngbMmRmJ/Eb8vG012BCxq2c3GnXIk5O2VcHEMmI5o2Vdo1z3YdxflSN5cEoZrHbDUOz
7H4Ev+GQ4L9idc/QzAGIxUScfM/b5CpzHggTlM8CBQbfBdWlRw+I2CvuDJ0cCiuqH6Alh+XGC+1m
2uqYP/I6Lt0JnqsVhDdj0oIXEmRa35no1A92lTvnoMVwvwpsp2tWi4OP8itt85z0CqsfEp82d32b
bPA2Bow9aARfGRxMH1SohisdLHHiIKIQaMUyrp7TgVMxS0YELCE2AeBtvYhg3QvF5eV3BAfS02k3
sVyEw3I6SiI89vS9dNk7B4XgjE14Cq89sCTmikLLaea18cN8m+YxGGwQSgB+WKAn0ihEmp7TQFoM
f9mj73Q5BVeF7lH7wcN9z7WyzkPaR+3GqvzsIZrxBNvwyp/tfsQ90vv+dy168wul3cOVp5TxNtHc
Va+DOpkfhjLhnm1aHBdk3dmSa3+bwDKQ07QaFgeGCRvrpYwnssKaPebFAdRMHHGhrrAImEm6L7GR
k2zE99WuQ+rJMk7KZirxEWacYtq4CJqDx+n/5Lg9U+yyj8Qxbm0n29G/oeKNE7G7QbTAtkL0KQrj
09w56ZXSxAWPWi5Z8BgPo7HRfub/IEyZf2sbj4BHNujC3rbcpZ5lMkUgaCKUamtvRgAD1zy90aLJ
Zw3UFmgyyU7Nw9ALsiOlb7yXTeseJiAWXrmBpanAzhZ4skdGTFx3NkjBpfdaj3iVzhh4zXbv86RV
GKRGS2G8CfS7grbRTqGT7Aa6OKj/ydxtCHbP2I+FdI6C94kHcza8/BqeQjWutZC9QFkPObACXoPr
6akncln1fEqDKXhIfc4E95m2yEKyI+AsvyaoAWs0ygeNscAL9ZZZLyL1WuR9z00lI+I6xbBP67q+
iej1Se6AJZLisq0ql7cdZgLGWlbbR3fe4GrnDtx9MBySNu7ojVXFAx30tXHtKc4kT1NmAm/y6wmz
QDvOUXzEAB3DigmrJj+oBgPpDtDa1H7N58l8p4aR/Gc1aRV8TZ2wAAFB1sLlkNSJAHJtPNig4fsW
7ogNZSEG/zPFQUQfim1+FQ6mOFAKzaDXdVAt+Xg1+dds3/VwSD0KZuSUW6BwVGsdShNXSBfiJuUY
6IyPUQFg6DjFWGZoeidHvyqkDpObUrqDu54hHkMRTO12B2mwNzZdODh7kJF+cILHP/4/9s6kuW0s
zdp/paP3qLiYgUX3ggRIUBRJiRqtDcKyZczzdIFf/z1wZnXZrqzM7k1HfBFdm6qMspMiRdz7Duc8
Z9jVqcPd5ZYhM7+yGeYG5WiviZkxpwUai/z2vPskM8rtupFzccrXVTIoh9jE+sXg16lvSgGBNQgd
F4J9jxIjfuaSsroDjoSSMkdM0+04oQvE1J90Y/EE3sFI35EtjtV9NPQzDvs6idHdhWjJRGeNd2nj
up9SijuQL3Nf24RtsirwqjaZl0CNHBt7h2IsOUp2tpwbBOD9ztbaxtosGCCOSZF9wqwVkqygAk6C
1c+daIT1m6JLFJ65WO7SLrqmZN4MaC8yJNO5S7ra6v+CpyKtOvaSEHaL1hdcU2WshN8WAki1g2qn
dEaMGMZ40+fx/GWOWl1nQKdGFKxi7OCFAqsakPhvByvSuf/RDh1GvVEMNPL5dYg6zqYSetgRLVOp
UbWwxPJCZzatbaRE43tnO8MKL3aExS3UFoCEaIXzIOnayCLFd46eu0iP+H04C56bPInUy4ziUUOp
iKsJ7Vcuko1RjkLxsNoArCd0VkJxbgUrzKi0vzYc/YkvG6176lSDjilL6/ZzoVjlAWyDss0tOyTr
Pe+GbV8sqoUD2YRevRQmE0KiNa5kIhj7pE4LIi5msUBV5uOwJqs98r3sH/nk3cBwI8Hfr2y18qel
O9SilJ+h1KG9J9r9halpn+5B3Wg3o67auB9cdP+Do+afImT5NWHjhSO2dqWKwptGsxZeCUkvP7vD
0HAu4Ql3dwpv7LmBTHJ0rAUlvIR3SYygE06NV9Pso50L0bT3wIhxt0NZHBmrA9Vj0O5av63V/9dW
gOsLfamAdif4WOC+//7C3uf+80//4H8fOd4PH+18/eiGvP+7YmP9k//d//PfPv47g0tmgyYrqX+9
2ntICOAtfpxa/v5XfperOH9zCRbVDJMFjcF48L/Glo4DLl9YGiu+XyAMzt9UHPM0PQ6DplXk8o+h
pQ0tnwAxxp3fx5lsBf/+1n/fWv0pLf9ntYrlIpfhp6KMcLikQd+izflpi6XHopxKGhNjjJWbpZ1A
tVfJycATc2NLfODI2WvPoCBn0xfJp2TKcA2qJWMmAS5cZY7C0HJ0vqTY9j0CruwrkDmJO77uTwVu
vb8Qnayakn8syf/55+WD+fHnNZUZ45gzq4Gb5BN59Hhpau6/jVWSG10zRdMaF7pggdDwh1/pH+z7
fgvP+rOX/kVdU1tGUXOzzEES4UFemOScs6xxdkDMKz8dFOKkXUzaaCxXcJJ5kSs7iQlu4bk24se0
NttgXliTVeuqCFiLvbEJJdBcDUlGzadn6fKSc0+ewh6kdGJXGATbUgQEUF/rMfWhrzPZEsyoAPcg
X6jRDb9miTITIt1MzV0VF9Wennh4GHUR3WYcoZssxwZJBGxxU7iiOpmDm5xahkKf4mHqPZXN6m2i
0tLPxdLs2rr3RfllHmNxQIKwJ7JKoS2Kae0mVTwZUyUPNpTIfa7nDua/KEHzOTAjcbueYaA2vBI+
KPZxSfY44gVKogi3UhubFUjj9Mm0wsswT/d0jy13hTflyqvRle6xh4N4M6fuS7doyh6Q27GF7OrN
sUV64hKdioLepY5I5HHmlFHjkOz1CZjR6Nif+wKa5chUfAMi94bsAmWjjfNFitjcdQAkfTSnOgs5
hnb1KCGmDyGVRZ6cq3AB/oOUsI0qEPPyJlzm0Iva2hsJB9QAQVVpw/wzZAyGmHyHxkl6LK+6XYJ7
cF+ljuFrEzyDUs4QymZR+bwx3JBJ3dPZWOJtitrItyLkphsGSnOAJOiefaZ+w1MDwHU4hkSm0/1p
466O5aMcFbDLhaQMK4harK2BSflUByJW4IXLyU/aCIMTNzr8oCq+uAPY3VHX81s3XkVMqep3jhUe
nNIS+x6w8cEgVGLraFXso9Svt4RDmIzs68Qbpb48KrK5YdrlK9U4bse4OCx6q3s53S48Rr7NEmH5
Dh0x01KH7D2dUdkRpavAK9cDWx6Ld5D8j31GzYZJbA9jYuMC4mDd6HUWg3Qt57M0qV42ePwDS4eq
kTXExJS2pm9zYkDVfKi9yQ0hmLkmcQqOvaE82Vvmc1l2YBt0BoWxWeceXViKlF4BhZqn6JUaNFq2
k+4BfV+xboqjQvwBNy+7DEkDsKnq3j7OVZ09pLqqeLNt7yWbxKwy6XgdCb8NJDBeh/RsORJDbmxj
W6kYx/ZQtj14pXtlavfYIxQf/ft10IAFmoV7jMzsgH3+mjisdJpZPvYyOZp1su37+DxSZAWVCVrV
Hn3ZPS95c8GNDTtaDNeY0QcNWJbsiEbx8YZ/zhIm21bUntpMA7BQPnYKpa10d01cfBFq6feUWl5u
M2GlQom3nW6c8RyDlVhYuqcN1FqwIa16kXZ0k4aldioszMwbKnJ7F4UWW1L04d07SyuTz70UDxLm
X4fG66pQfuzCBJxN6Y6SrQ0pVKJsWSaj6XA/xznBD4K3dZALNvRt7hrzFkGRzuSoZpCNeXML/yzf
ykZnqlcTpaBlGtEmQ7fKozPz3gk1bLMgMk8pGJcgV6L4RudcZNwgngokTCuqajrOsC8fWxcb0NIb
0C0iRexZtnRBTtdPq1na4hbDjDi4zdBem5BclAmTTpBUZAuwAuAPMsvc0rQDD81bwbosvNRY2lpN
n33Tyh7nMu3powChWpnxzNgy9tvaJopijgByaIgKFa1uz1rjDFvh0Ij0sAuhcyPWSzPEem7XJQdM
Xjn79lbsAQ0nvi1g9rhVZ74WrITscOG8w0BQLA4ziMlJPVaYS9BO9rJR1OqbHZUBA69+b1q6tsXB
mgVEZH7SlRacSRLe24lebtU4xIrTsdqiZx992ArqgZFSeV5wvfz5PUax8esFiuYRHJRNPUkR8YuY
RlWMWFWytYNyq/sqAc2MlXYzwPs+/vkL/WK9+n5V//RKv5QWWS/LWAAcDsZowModuh/q0uELZbQN
DNd6tzRiLKSJ9h1CBPs9e6q8P/8R9J83sr/9CCiBDbRQmi5c+xeFqlOVU1p2ixpwWlFMC0Njl4Xx
YZ2q4kBrbcUjGy57gAjZBxn26HO4niQxY7ijSMPm6E6MhaquerWStL1He+liLG455SO1LM9YZ8Ig
A7jvpWMeBUway0CTsvPbZeYQJAOmbYCWwNr7VgLIhAK9Uszb4p6fQ/GReXz+8/f7R7/bH9/uL4rW
1Mhz9KemGhA3Fl67ljn4zKLNA9W5bP/8pX7Wf/3+yZL5iWSNHToJ7D/XYepEW9kz98BMZX/rGfjj
9jDedKTOXmvWr3/+YkjT/vlLC4Duv15tVYj9oLZXEhLAZZVqgZmMdyw99RedsJdDOkVf1YRUu8bK
+juGw/GN02tL0CssMbUMJoiDL/HkpkOQ8pv0GHHsc6uRu7Qb+psh5HCj+yy8JOFXmJlkr8V9anoY
j8s7gY+K+JNWMr9V+bdhlWegqZC3R1HSrOUJ0Kq/eGR+Frp9/1Cp+FUL/afj8HbXr/MPbxPkuSVw
UquB1QC5zuDFbAudSJICUdVdMirA94cmz/7iV/lHD+pPL/tLTa31FYdbNemsdk0ejdb8amcqN3Mb
so1lnHtTzvIcQnK9y9cqB6lB9hcP6h/+CBxKrkXyrusYRID99M5zocquLhI10BOcoh1XIhb6E5qO
cEsqhLLJa4vAKEG9qVtvnPq/i3L+pXjuD77OAO/+8fq/PDnDRE4WSYJG0OfDG34Wee7LUL8pGosv
thL9hdR37RR+6SR4p6j1bIHRjf/++d3i4lPaviJCwNS79FadkNAlHZD7P39q/uA0+OlVfnlPnS70
MTcrIyh6qW4m3iCkDsPvsX/9xa/vj15pfSsIS0261X86DGp3KIn+FsESTqgzHBUjoXvgnvmLd/SH
X5MfX+iXc4D+Y+jRyRvcJrX9kUz9JdVscDVMMwAOD/pDFvUshokMjC/gl2gF6r4+/fnHqv5zy2wI
YWN3cAS6Inr3n397eDSnhtUf+js7rYNlasfHWjPgZrALDWpy36razbxojGyMVCgN4c81W/YaAMgL
5TOQBrAMCP2btbooj2gIX6xWz+/URHtOWwRCf/7jfudU/fxlAzDD/hQb9PoTm798DRQVyHGxtPxo
0XAsZ4i3aiySfbXkAjficpKuJf16EMHQxaCip6Te0IQqu0QSOGqaZQ53meMUutWBMjX000pl3UVP
08GvwG3QfKvrKTrAlaKE042jao8N9Grit1iXWnBTEjhLS0VtVa+BmPmHlggV6kJTbIU1Grdd1/1W
4vyvzaB+HEH95/9vMnTSj3/4gqzTsN+nXOfPBfK8U7JUDDF/HFZ9151//2u/zatc/W8GWjoTBuSP
GjtXQ3yHchxbI3Xjd/343/OTNYO/wYHGf3RBZbkeaH/X2Kl/Q7FtIRd3HGxyNmfD/2Rc9XMhYDsm
tQZKeAt/hKoi9vulepVqt5SZWoxBORoVhuuy3k9mU+zbVD3rbeceknDEi6gCHYmGDzYD4SkyoQD9
8JH9wSwI8eBPJ/hvPwd8VNu0bfLcwBL9fAYgPyVmoAppa7MuD3qAy4ae7aplaw23cXyELtlYqF6T
85DQS8wmo3UtCk8p/m6ky/rj0NhwjIOFNjE566I86qmst4nTA49nuz1Z9rFmZs+2r2ND3d/Pw0ye
O4WrWVsCjt7TxMWBHtmHm+wTRXSHLOUyZeGNpkP6IWkx7ABPFdGFJVexSc3scUAd4HcAu0nIqDzB
4scz8ZwiTWPk4UteyBucZTaQErx2Xf2oz2SshHOQRvodtyO8X4McRT7YDsrca2yxEIiqReyAM24q
yUK3LNSdGUco/U6VUqF3YpvtvCjZArsqfWisDimMDDTdvilhcaYZsDe7eZBy1dmheplldkb4yUI+
Gs2tROMU6Gbywk753DrLjSXNDzj9gSPeaF+foILBC7RPrdlerVDdU8P4EGW8CYPPhi17tLVAY85D
5vdz/l7l49ekQa0yLLrq0Xt809wlPHSmBvdm0QvcpmBlpb0c8V+fFGfoPBKY882karATrIcijw6t
uHalvbWgtnkkZz40MrpTBSkZ04Y9mc5ONy9nPwERaE03Tao/FawjEW0Z8IYemlJ+GwvnIDvxaQHg
P9eYgOOpfuW43c1mctQaUgELiZAgrAjMdJ/4em0yc8dez9gYqo3fqx/9WYznSAlfw5pIEEu/tjZr
DWkPT6peear6tSrQkQoUEqMEWYYsoZIwMNXe1H2a3W2GMMKV/VsKJlAzepxSIBhsvppNbD0lqPZQ
epVfK9hijEQKkg5QbGoCqWfafxE9TU8oqAjpr1Eb+La60jPil7RQH43ixW7b5ZJmU/YyLsWxy4z7
UI7j3plR7gH2mw6GZnn2iKiudD2rKYkozF6tIfzIlAqt2KU2nzpULxu1UdbgCXGPSxlD/7Qc6ih9
MdRyAjxaeWMa3y2hfTvKxossWCjsYoz5vnXqky3cLQoexqvGjHrE7YJhILkGCdBdL8Pcj9I+0A0V
NiFLQ4SOZhY48d0YqbdlhdHaPZBJSSAQVDeOg7skgSUYhfKlXvpgoVsNl4RUnBJZjqK2p8ZVW54c
8hISS/dnZnZ4Hd7B1O2a7I42ZjvV6j1jS9SDZBeiWAO+FIxreFaPaIZa6YWeBp0RwViltBG8aAXL
YYToo8q6KCQdiFiVm1izgQosT8momV4z2J+gauGgBExlYU6cgZeTEnqxtW6vaXJbLo59ZDrrR038
hZv1Tg3hFBmRdnEFar0GdCLBGAeZuW8oEw7JYH6tMuLZG8yGwmDXr1XFLsvLwCQB6JblOkpFWzqe
2qbXdVmzXUIUhqSp+6V612KyE53gkwd4GAnl4NTJCWX4RIqJPm3rdtwhOGo5isw71sT3JJ5TSZf1
Iwjn/QizeJuYMQVpV79Xpos4yXomH4Znpas9Lc12eWcSDiYrgkbaJ3tpL2HZfxrmooZDOmDmsJ1n
lI0P9gTqT7onaffHKkLqW7SPsIoui9586nPzTes1iD/hrZiHT82cvWSzXez7mvdhwV9QiBgcQUii
MbnOhnJlnX+A0YJqw8aaOEAnHTJEGI1RaZvYblMo99NhoqPXNH2/tPU3PSv25ZB+diIEK7DioFjF
2om8HabCDdt9tXE+2BM/S5McRdA3fjPNu0Z3oX4aeecDCc42nYq3Ah2kxphx03Qu379e0KYyaNVS
VBvQVJjcdT5P2Bl34Atxc+9MNBvfIDlwK4ruc5rZPBjQfeOeYEs3vCuhHiqTcyvG/rxoYtx0oBn2
XZudtCo6LJHx0UQKKNA2ysnH7G4XPlYlDE947ncAnFmbVnDS5ha9JBmJDtkcEaRJGfo6kBcevQMq
pNIHeHfX1ognyBfPfDVVTvi1y20SkeJT1ftuya+iJ++J/um+y4c9RXO7aRnpwmlsLfvEJPxQYbuZ
OqjMKI3jNV3NSTDB4lmZwxvL/DTo2VNYdMyj2z0+DmLfSM2rOIREFe76ONzXreXV1VvclefCtV9Q
eh8ILvT63DiSURhMYw2GqmRNRZKm41gHgaiPPW+/yeyHJpy8pjeCOTmTLvkyQ0KbWDC7fNOdXH1l
53jRpjFYRRcb293jdMk85irBsqqYWO48WmH/uc3gM8SGzG6s9sXBCGti4rEmfCauRkjXwADzVsIF
g76cbEjIulcW/TRLTq5aWhsmEwRSmPadKeOPej5Go+0jLLnE8htrjTMONFi+y6YVOhnJFbhD5uBD
rh6p37Ywb78lWvk1joyLbvVn3WqDJIsewZP7goAYFNnuq5NKLx2+9aaK9oWjE35HZ7Zns5E8hBUa
TfMZbceNnb+NTkbcZfkWKanXZentIIaLnVpbvTI5XsL4ZHJoLep433YVuB55Htx0O9fFBeXrWxGt
xmXFeHft5jwOWlDJ+QTBo/CQm2xTVw0KnfwVdfg8LMMrEmc/h4ibqSmUsvK90Gd0DCcH6nnJON4h
NptwkPrUWd22yJmgp85mSh7YYekcCvHkGRzLSPBZdaG3H/xeFvtJPy2pc5i0/CLc5GNEW6nnUQJ/
jfuzglAmAQjTc8WZOFUR2qTcbW4jI7tvS4JBFpSVBXwd6N9k/X2KTyWu5+4pNTIPycKu7lIYsF2g
0kQTj508k3kC0WfR0APzttI7e/HKwd4TYhIAfPxqgCOJEwCPDR9gq90ahQbgQ+YMshM/6vIjsaqe
ZVvPrWzfGW6Hfo/kk4l5/Gw2CphqImq2cgWwqZZxP8FAQ8bUsTARgsKmAgFHfgTeLvh7ab4FMFih
djHv6tj6BKzuixYOLx2cXWUmwcg22uc2YzMxpc+p3fqmOW0t9leo/rfW8jgCJB04eDNy5nSzuDY1
nsCw288qqYujstWiE8s1dzvF8haq1CYOK/KXv+UxlrTkvm/cm6nA39UTWdjdKMnsWbm9lVekQruq
22E0vzSgRj30waxe4pj7I1l9fdeBq4jwR6yH037BeW1rL9EkrskgOA+cfQLpI0Hgo8MbTwxsJ86u
bodbKYr7Ub1Dt+MjLENc+aYQcyoZ4RJDBng1fZ+mPrAm7TapUa8pjbwh+EfdTo31zS2fY57NuYpu
kKls0rYKQpdGAqJr0rMEnVG/OI/WFO0co/9MPN2GTdbgmSEyEof6YVDsFyLVAAY2zyRe+kujHAbt
6DrKNllJ1QYlqSRHlLTDB7V4HE0/qmYQY0OXNe4KXCZ8qiieIkHuRjmmCfFBxe3AZpjSsltYJJTZ
qXas4otixqyIooX84FBvqSFbt38F5lg9Nz27nyUxh+2Y9/O3socK46bCYYekj1/Hqcp8I3PF3jSR
QW4WKwSSO6ABdkyyjE1TfLHKPL539MI6iiYyIwDkVhG4Wp09V7br+LlauNdlBOw2K338hsB9CnLy
k1nkKqbq92grb1LYGsMW7HHsAzXkgc0T5ECAfyC/iw9e0vlC2NryDsxQBIU59/tQpOoDEh6d3VfU
X5x4bm9EmRZHEmDbB/o96mMKM7kZ27K7b4pMf2SvILeK23C3pPF0EGpXH6vRgA6qABa024g7blGk
F86qA0NBIbi3GHMXtlDdnMoqjdBmt0A9QZYeFLfuTlqJritvh+7GHYjiooij9ZKty+fOZvTUG7aK
Q3U+VSxjqWdIsn2oEHY/i1ZAI4NUcUxB+OwiAqQuhlyqTyxQ3TNSOuICG53nx+mi4t1J4VooOVr0
DaVxejHG3nw03TS+urqY7zvCuc7qxEpnNFJ5aSs3Ps7G85iYOGXHdu8iNbyGABWfFMOYR9KSZ+2T
Cbd9JxuWtgZEINK07eE8JYt9yy6wf4tx7QTEwztHIp3le9ou5R2Gmv6OhXN3QTaYHooEBw4uOMIN
o1VeVjn4IecVR0ldv7H0GtbruKCgDzV1WxlpAQkQjzIRV5wq2cwiLo5WFkc+qVtVj80XHXThlmiz
4i01c+2MN1gH1GurR1j3M2cKQsUiT+4q+SbjgaUz5t+xz+cLQE9u0rqYx4eOb+ZMjE43F3usU6U3
NMsXeJk44KZuML06HB9DxXpyyuVCCuQnK1kphsUhrsgoX1g9Gj3BHZY8Nknq4zax8GqYW0CwkWco
Lmh47l9hv05KcxjnVMC9Mr5aOZeZln422syHy7wdo2xHbp9fUrlxMRimZN7PxPnsRIbYI1B9kVr1
qJXGIRHOOTcGGBfLNk51fuJhP2ZnTbTPqtq7fq10r8uCynmOEirKwnocjfEpVFSWkfC7oTltkji7
naVyiJz54iTReKjVxkBAp+VBUY7QahftMjtYRDQDV09a+m4TAwybuh0E6R3UbLTvmrEb235Xdorm
1X6HzSxGYVp1R7buuKacXZSX3+qye/rzYYdu/TzsgGXDalIIIC86tAFVuL8MXWAQUjGZ1hRY+Qtt
fnJc5CAvcoKuqYBnvRFW2ZxlFS33nE/xdUJm8KimXXppw8aaNp1Vjq8OmP93+/ujkq1PDcHJ7tlc
n6R4faay9emC0NYc1e9P3PrsVUuUPUy4zimdeTSH9RklDK0+zetzm69PcPj9YZaR3t0MeabcRCHP
+rw+9c76/KNIj/wCZcupcDt3Pw14MzBNhM4hDTP0lmob3mlAnnYwGKODup4y5INOhyjk5BE9EMgG
18Ojbc6cS8ANGI/Gcf+Ab6B7EFVXHB3NIsBiaftLtNCNYVYg1yQ0OfPW0w+Z/fJurieiAtvjQ1tP
SXScySGugZViyCO2ez1Mh/VcVYD2+sX3w3ZAhRnMmRO/lTV1Ri1m92qkmevHLIOeoePRMEwTx7eI
J+vYzFN8b7iV+iV0FekXjbvVsWBvAYhzCVRDpu6n9Wbo1jsiXG+Lar03MNvN38h/GlDccqswz6me
1fWmUb5fOvw2K4wC3ETNeic56+3UrfdUaOfxQcrqtlrvsHi9zQgmeUpCIMgbZ+mWrwwJj6tHFpGG
pnbPU1uIV2fGTriZk1x7mU2boRYi+/nT5EoYLrOOAqCOGEBlfDf9wRqrzVJQwGmJq20IpTjbXV6e
4xgajlZr8bkG/gVcuiF+G9A+pgKy/YzWDj8bmCOrgMXKQnMDwn9HVoyN97X//ooIfYutjZbd5p5W
7JIvU4lAvKuq/K4qU+uz02jasUg5JPYWi/wGso1BpUB+XTltMJhl77qo70c9d9lWM2lvdjFRFnVL
t7AdQOEx8CosPHrQvVf9hPSBNV9jus1gUoxPbckoZxAjncRCXbnw9Z1JfeGykb6rhI9p2jzmfVz4
yoSVH45uAeOG7HOHhv2DJuZFYaN00gfX9bvaeCI5gApI0XRfACHmhAW+C0o7vzqThXqb6b3PRd95
ociSRxut3sYi7pG4Z+sRm88jmPiYTEY3C0qbMnsoxE2kq71fjrGEiydHip4+z7yRfVtCthL2/+Tb
jEsWDP8SUxVn6M7V+RY5ksAUwB+f+GKAxh5fzUGtbkpT6DsiwwhCbStt38w5eILRLTbdYuyduBoI
AZwQMonG3DFMZawi2s+YLe6pC8nrsyRcOXV6qiv5XGlF+TChJ7xoTh7vjWEYnU2E8/gW4EXs5VlU
7XsswsgmVEJHU6veORD4oZaP3W7UeNYqh7lmSFYHmaGzvYlk9zaVo32Y1Qya3FK+YZqggjCJjclt
p98Xrk7iypLjBGuTbtMUIA9adQ0eqYluwabbbEXNfJFlMdjdyC0oLWpBO39nNgCjIp2KaY5p+WMn
rJ6rsOc3PNO14q5AuuyOj/w98xDpOFo2Opb1J3Rb5ZFsixAhoCtWXl1yqkL7q1p32Ao1ZeFbwIGi
FGQ1jPk3lqCPxBWrW6kS2IdUjYiKqk63lcVnl7vxVxQmSKLTjqu96QqPqgCRxZy8z7P2OuWfiFY5
9Y7gG6GBLy7tu0WtECFl5TerW6647NA6E0pAWGCfA2B1bM2n6YjwqGujp6ccjqqg8RjL1YJaGS18
eU08QV4jd89Wv8hK6L7ZpE92mwewVV1fQRhAZ4xm0YrU+BYl33G2J1ZIOs+XbLkkKoVygIH0eQxN
xEODXTVB0o/VIdaUOIimaHlNnbXJjHRcYTIDkiU7m3CQtB+XtzDJCg90TLyFAqJsgWVqF3xQ9Wdc
WfohUixxjCc3PeS90V3Cyu7vxi4s78ivkCRl6lRPWmMHcq2oxrW2IntrOOtrvTV9r7zWGkxTevsA
P13xwu/VGSeu8YTBSl7btXgb+MS/X7z/t8b6C1DE7/sodrv/WnL92Cb10CKP+U3Bffj6H//+j7/2
+xpLg4SkWSoWAVIemYiwtf6NEkj4HbsjBNkW9/OqvGZdVVZMXv/j39lkmea6rrL4Kw6KrB82WUCX
iNKDzqU7yK8FeJ3/wSYLptgvKyTKKcvQ+RdaUJos9sg/r5DqMiNK3VAHdtno6wa6eMbdTlCMBC6o
rnx1LKrlETo5NLJs3i9V/yE17SV1nFeWq+IaNqsZtZm+9kRzbDJkvwxCLKIrFVXZyL4pH0DtdUd7
jKifHKA9y6h2m6VJ761aIbRIG+OAWpKjNKrPdp2RtZvMMaWx+VpRnMBGna8VLV1Rs5ueS7SIEakG
pZtiNMmUrwQdkFPWahuzUpo3uOEMnNgnBZzExMWZesirRuMb4caBslS3bZ6uXpEJH0dhRXdsMVwv
Ie/TFw2Nt6qn5W0NwezYp8ZyUyu1dUt+vC03tW0UE57p+Tl0mW0l2ecpbl8zBovsl3HInRTbIJdU
ynBVcBIjPDAmTDVjuBYzHpY2M25rS5UoFM1ht4Rz5ZHLhG+yUZPehTw7o7lLTXX4BhLivDq3fLXV
7XsDtfwWX7sfk/y8nzuz2KIOK082TpLtGroKGCOi9qDsuIk7rfZa/P34+F37kLVqTeZvZL331vzW
4rTZ6pSg23oCrAEDnf8FieJ9sFzlFFoj6saJFiyBoOthOTNOS9YOO7OoPlK1n/Y0wfalFam7myId
ryROEQ7fymFUahPZFZeEsrjYzJtCaleH6quuQyJQM9lAMR6yV72aX/GXxti3MYV1621ddOLWWO/v
ujJib1nv9IxLJSmdLLAr981d731r5I8vtG3xblLh3I4UCNVaKfCn8kCQxnhM7PyRhcSjvdYVzlph
FJFMHruwpZKzNSpO1MWndK1JkEA7lInUKUvm6v601i49RYytQx6ymUWfhrR54fvqfsi15hFr9bNo
VesVa0U01h3tYPgYUypZlSwAX3TP6VpFjWs9xeIGgg8lVl5KEaR9d1XX6itb6zAr1btdgWP1WayO
adNyruPsPi4yvSt12k06HtrTmIhDLFkExbijcPdI+NZlLfGM7b5Am3ooQ/ZBVGptfWdYEle7qRBP
22b5xUVR61cGCy7US3DG+A5eor4bbxASJkGU4QXL45jjzO32C1qUAVlhzHy51Y/QzNJrlxrOnqoW
JYXZPatRJx8Ir2JExbo9UPuINCPDeuK61fZZMhbPeYpLml8VIlFzHpljpz3JDoMSfmLmPvphpjW3
oD1Iu5wntEshaYDc1mareUPYfuDoLr2IspdpJP2XVRjynkGg69XSyFgCD/q27yxMmY5+gcfceRjL
CExxJ4Trak6pXsOLFulSrDvm5QtWVi7phUJ5sitWsykxw/Wi3mNoB5JAR7NWQdWuFyw8RBcys7ai
2Mv6Cd65VTPq1+JVX1LkAL1mRVieOynDy9y51tMQDXbQOHP4kgtiBxRoMTi7yRpJDMJKUhKnjg3M
iyc3qZnjVpA8kIov2jVfVOXskuxDEZenL3DfXkB79LvKmgkjQotbd/Ku7kftY6zV8ZpM1uQpSdcR
cDZaCHZktdw4scLAn80U3dH0MepdcbFrfSIMjR6Y3onxQ1gzbrDzbKcu0YtjED+vtM4xVAoCs0gJ
ithFusDKEZpjN3eUBsJIqPHkJnrqFWAtPejT9hG/bHo3LWF9G6p9eoEMzQRGDLfALcZ9YfTNC0px
EFpVweqnmRm7zSBvhkSlUwT+sB3TJX0aXX6MfJqXaxgv99IsgagRJuBV8wS8LR3uuYeYVJI+tEOK
Fr3TBWEezJXHSDbCX3Qcq5VW9hdigk3PcZYE0JsDEF5LIADBFoXrVd2bKQkcBQHkm1al40MWsXZm
TujNi0pFrZiuelBMghEJ1zAxbjrFnvis9lYqJKwoBVaXsMjhpto6p3Bifqgqcauu9f/YO4/lvJF0
2z4RFEi4BKa/t/SiKE4QlCjBu4RJAE9/F1hVXaZP9T01uzeiI2rSoSYl8gfS7G/vtbk40VF7T4fw
98TyJ+gLTE4Y3TLVNmt7mw3cY/HrztuhByBShBnhxzJ8Np2KXXH5N0BXolss0cG66gLriz/wNuc4
1Ijiz8E1y2K6KikNd9pVZkf6mxH1ECbSUqsnq/Z/um16JUa7wMa4Ucc0Aln+7UAH84rqTJs6ez8G
ZaahtTAdodjRSB/kKJZRs5c+10Sqto2FByOY42fwSnvykPkGBIQqMVYFX5nyzrsmqN+rkQfKa/On
oaEvIB0nvSlz82YeZnQJuPzsdunntlMW8qYRrNXySYMtC3f2wHneL1h6OlramAR/41z8Okgr5JeK
632bY3XYyhaCEVaY5DSG0V0SN+rqm5EmtWLdJ4Jg8IQEsa7oJiMUifmA20C5QrCzD+2QqSdClN1m
bqNm79FvebDH6s00WIWIvW7w8W+9zv02gU8kyPHOxNHFkEkLfWK77/897v5v4oWcWxkB2//xuHt9
K5fz7l+Ou79+2a/HXQe+NTIdiUHifL8g0H497nJwDaCmuZ7rYPP6yB/+dtx1P3HylBYMTwzyLlLX
78Yt+5O/RAP5jjbHU5s+k39w3CXv+G/HXZe/BltZwKBBuP7iif2Dt9mlK702KEs8pCopDuRvCBom
kIG7GaZ9F1nRGvIIPeppuXewra4jmAWfi7ajkVUkX0g+NVej8TEThcV4lgxmH9rBuQfJBKhwFjiT
NPutxdWTsxMP8ypW4bNj+cW1y4wjAdgAQ4zfn/OsfTCwkEFQHONvLvYkpPqURpQhv0t9Dtdcm4uM
MjNiLtAPegekaBLMm5rD7VOAm349hlCs8B7UV5U6Y7zhys86TyJrNZsh+1OdyYNRwi8/oDmOj0g8
8UtS1z/odC3lJupsGmfHJH1NLKZVBD0PiePcpCXGzyzOs7MGibYh7EM62kGg4yC0cfpFX3U1ZxRc
9w9plDegM93DBPwA7WVpuE2YlxDeFGsoKUw34uQFC5CHFFVTxmCUYKjbVjcr7doMU9QyCQwYWph9
tFNWIdYtj0i20l1RP5g6fddu65C3CsO1HU8M2oSpmYm35mshRtZPrs7DfsJKQC2xEz0Oelx3tjYe
h17m90PuGftcu2G5qZ3QvKdCy2f+EGkuMsgQA52CYBc5CWszBDfH5IrRAiFUDhLddB9ao7HrGqeg
excOJYeIHOBnXtNXfFRznp/rMYegFc7WAosZ2yxEsQ27YRf7RnAeKlTxzlIh8UIMZ/EezWM4YXwh
zR8Hc+NtBnfiVOQuGZ512tJWSI29w1yssUdCZ2M50NrQSvYg2bAwD0WBvE+DSnDXQVb3VgX1BWoN
BdAd8AoAp1lBlqIlp/XUde46Z+EdpdFSfxQ6t3GEJW7ToUrh+sH9y0iy41xRDreuY7fifspoSYWY
3hqMGh0JKUI7IuQ0p4TWDymCZnyQEw2LJ54wm8yVH0XzBtHDujEMTeVUnRRnqcDrYXKrVb0fvAbF
J+U6eOo+ho5aqGXaq4P7dqDiKyNKz34FZcjFF2d2xWbANLwCphJtHfsGMsFL3sq7MWWnzhPTWreJ
OsSdQ3xRmde8nj8qRx4Ge/gW1s4jVS3bSTjTTRLYB7fIlq20uaRRuIHHffTiq1cMtK9ARyI2ORO8
r/jILO1uugIWQGRm9h1cLOMHj/Om8kHkDuad1SXGphz9e9OkqLXS46pgidoFBVcsftSf9nxfdANm
K75GiPqlMKz0HlzgkRZpiD6KIzn+kgVhlXqbarmmJnn2GNRGuPKM9s6HiN5OE5KeppxncP3ogBGB
VIUdPxX2ENNtKVPGQTZ9fovF0PNobAwmqm5FUbXriTJnrhWV8eaAQCKDCNWDcOVsE7cfarmUn5ig
aSt7IyHegWkM8OWFsEWuZpJ6r8EUPUK1STYJqv9eh3nNK5PuwKZgsrJlt6aNRH6fnZkAkZi2wh/b
i2WllAgysYjLPDwOrnxk6btGKeq/3UwWBXz+rqNjaErzHMeV5e2bgEsL5/S945nvOeiy1ehNP6Is
vLVjTRfw7Hg7p8UghB7wA3BF9q2fo59/EGP+B4Os5S0Rht9d52gn1FyhbKD7QcJcHMN/Xu7Lekmz
JiI4gMEzV3GRWqS8co6l0Vi7tzFKZbI2SPLUSBhZezWrMXmJ0oqGZGyDYIWpwotZJ4G+eCA4QMim
MMqW4ptMTTyXiW9zEs0q/Bo0NT1XqhTfKV/nfRZKazpd6lw2KwhC+INwGSBTjFjSTpmIISPHmL+o
JhEuiwXNbmdGhMOwcz9WE0wdrCzNxyqDgyk/jwWnN/rjJ2nh/wC2GytVQlUyaWHleJw+kJHmBEyf
njyqBk+A0l6EBQPZ2eoigr04gnN67zR9v7uejACVkMOFcnV9dvH94nWLz4gl6Ta1UJkzEHgbatwg
1ZeUcNKc+zAXgmpSlrMLGfclZmtxcmawvKbvlGjXGO5psbTIV8ruh2Ck8VkN4KYaO4aKlbVNAZ4y
E/1I5VgV9IxnE5xgISSXjWemiqcbwHi1dmqRZo8gNQWxTMpv1nmqYfW5I7j7wFNryM3E2IMID0UT
zHcAep1VaxY3SaXSM2FK544K0HnEKBGVX1kUqL9s5LxzKzJ99BQCfSGdmt5SKuu/R53bb5MyvVd5
ZZ08E5xsxSxaXMl/Zdi4EviWnerMdJ3D3UguBSreOR4NvJB+Yewlt3XmUQPsMvTpu9BALq5kFH0P
m4S3dUya/nVyWb3wAFm3MICZKQx0HVRCfHPykCzg2BbbtnJRrKyCTNNSY5pQBZ8XFSbrRpzY7RTS
kDGc/ajxN96omq2OW3JJxJIU/KKmmy51577E0Ux0QsAxJXGycrKE9iSKgbf0LA+YWMVTEXTQxvrx
oKi1Z5+r98Fov0em0DvCut8bZK8Y647Y13F3siWFSCK95JY4t0X4JYzIuzfxkWadb5zjsVsHNyYE
u9XU9+5unPv3BWhyQ6b6BwIEt52+djZCmmpHxNk/VKJ7o/a3PcU+GeLWy+L3ibqh0+D57X3BRPXY
tlzu05pmpaIAvToM7XcOi6C6Xft9cPIFLKK8NSIO8C2RJGeH2t6ZVtY9YXdxUzbBFb/BtCYYjhGq
NKaNDeVkB+0pXDc9d7jBVRji657LJPY7+ACnzNHpFlbOhlPCrqrb7grrT3GJnKa9dGrsXqP1iLtj
vOZCJEersMoLKROPw4fwblAqxH3mlu2dW0Zbqq2SIyWC+TrSyIGrsKQMiIydpZmI5M6PlkrdrdWL
+ifDAkAImVftnH6uIH7TXmsDrWDA6Eab1M5IkutxqVdchpLjx3zSGyfri/yYWg6KAWbiJh3+G8fE
FJGk6U86D5l3FiFWiBQAK2XrFgm2vaFw3m2xUBeIAezRatmts4+Nu/7YxL2PDd2WeNMO/sdGP3xs
+vPHAWBp+ebu+3EwcD4OCd5yXoiXk8N/b1v/4LbF7eTvhwvXH1H8lr9Nfx0vLPctvvBf4wXJKgK4
TizZYmdxTfxy3/KDTzD4PTa/AMX6lz/57b7lfaI2gRIioshA6ngaf79vuZ9My3QFqATGD1AA5D+6
by33xz9swNI3PUYVNPNw4XP4Zs5fNmD0ks4HQuUdVKCc6AB7gC42n5mWYrqQxO9jluenzqMa8Uif
QP/oiMmHVqFFOtNOFNqfmxSwUdl5Hsc3AA6cxBJaXNau7sZmXwDU+LyclK8k/kyqaw065Gy3RG2Q
0PqwnTsgeQ/M1v1sb4LNrC+mAT0ERyIeezfiJQFAFD21dMSYq4GFnMOPMJ4CAW7K7yUkEYfUfZn6
wVaYRF6b0n8w2UcYSJs308TGH2R1Q5tSO6jvDb3seo3SS8UdPyz41LQNupXCsHNxY475Gw1KbgVG
yN+DyyoOIIgxrlqJdQhdf9xE7mxjA564QDrYJ1jKxgjn6QRvMLaDJ78K/L0WmcaflwfrdCqGlY2j
a2urgrBcH3B9jD2ukI5VPw9gE3tcXGMNS7YFxBwYQDigkUKPrYhXmRzpwgSBt9TDPe06ND5HJev3
pUk6vJAwcnFUjzrn9BmUhEw2LXcCumsNVDnMi4w7d5GYgOPlQ2CI+1m4wXSrIgbI98IxUbRnswGu
lwEsCDGa+GI+9mZHS2E46ICa1TQUAwhwGkORl+L8ZcitBmJDoXDKi9lfLsCx5WRr7OjZtLJnQM+7
0GuHvezM+N2swLCsi7oI9qXqxbMbajzPkRlFGJXanwHG194ARUO037pUaqqzlW0aBwOW+Iv04OHE
Zninx5JDXQP0eIV1N7jaSsNPaZJ7kWTmzgOQu6rykHNv49Iy3Dpl+w7bTh4qRsHJHvRmIjZ5ZTab
DBH5yV1YZKsJH9+0KZLOf8yFMV10mNACRGPggqrPH7tsaja0BlBFi/q9B1tdnUzJ3dpog2hrJv6p
V9PSYirmp7BMxG5oKvdEASOycmrsqSAnMgAkIqva9hFsG7WbwmtvDS56O+K7EUgeGyu3k6sJK2oV
S5hr1E5Ge1g/+WXJe2/4Xux0aN0X1XDQWSqCkyee1v7MuJxWcbAIk15NIPSOUwRIEl5yvyn6hTtG
cvMYDTq7BTA8fO34bLnDVSHOaIq+GZ9NehxN8G9ab5RaaoUL+TwmSXHfTJB3qK7eAkWanyliTN6h
muit8mX9CBO43cu4T/m9p9N+IaZ/lQHTDqxV/bXuph9V35MeqyerwH8QQkgw0nTnQU3IXqiX9B51
hYMCeEUmX2so1C1WFM85agqld+M49gz4EHE9w+q37tCAvG5Ad8+BBLU8utRQCiJz+Yg9DzB1fsgD
42RSlMgKU4xX4Mz9S2i26MFtlN9Fgd2cWogY3IXjABdxg9uHGqnulyz8f2fu//eZO7ubwwz677fF
zVvxVn40GG2S/t+lyOWLf9kaP+qJLHRNRq8oiH/YGqX5iS2R0dVvnUaogL9tjeYn/oQXwWMqD/yM
Er5/ZUjpNCJiSU+D+Wuv3z/ZGgM0zT/ujI5LYx1pM8F/FMwiRv75aloro9FOKRwiK8nPXno3Urn7
2gue0pDlCgvfNp+YPA8MHPHk3dez9xXH8b4PXmOQmythRGcmLc9Z7+3BXe0EKI8Uor86dZrgoiRp
Fg7XWJvPDSmhbLkDzu4+nRVT03UV07SS17gc117v7zzN1zblJU/VgZ7sY+bZ955ybzBk7nXj3Duh
uMGGa3nRN5xyu6kOtigfj75RP87EcUK2WyfmhlGYq7z7NuePU9QQB5337ujtpKOvsvaPfVRcRO3c
lM74XNvOuu7KO16vLaQc7jwIRrTggNl/mid0CD90nloPn6JOb4vQoZw1XkxboMvI9g8AvfL7LpIH
m0gECa7htVPBk+mrl9ThVxaZzt4OvSNeuC0y5ncKczdNXVwcVqA/PHn/g8DwEbL/XV/gwVo+xKUq
GGAmqvJf5eSpUECRSFdu84YkIPtJgZs+0s2tO023UhntKqY3DWT51ugZ8PLJ/Od/gPOX8xWGaU5Y
0jMxx0p6Ht2/AFCSJuBYYCXhlgP7XFMc4/dqN5o5lfaTS+dzbN06Yebt+xDKZjM/D2ViX1wGx8fC
ozVArn5Mdqd2s8cVi2FTspMiLLZhNV9GigD7JsvWno/qaTJTLWYKlRwXuu6eMnP6ZTGjrXydb7Ud
cOPFRVZVoUucwT43o8J2xqFq27fW90mHcJTG+b4n8T+3CQZaS3yxG+uMt+LqpwABmrg5VU0d/YIy
+UcL6f+u5+1v/1/L3/X/GApSsGT41Mj8x+vDKSb1RY0N868/uJN+/8pfFklffgqYgqAV003DJWEx
If16f7AxLgHVcRi8/BLA/22JdD8BhVyssw5THsmT9/sSScxeWuAo8LljA2XI+E+WSCmWp/ePrxcD
HzL+8CL4diziDH/+NK0xCxMdF7DgnjLmWXExNquSewP+f4znbk+UBWz6l5agRA5d1FsQD23GVB+L
RCQ2bWuxcoR1Mzxqk1PnSrqdu+tyo7j6EDx2QsfdQ6Un4iP0A9B1VcwBxwyKhuO+Ks/8gwoCc5U+
aHoeqJJwfT1evMpUZ5zSZXLr9j0kvMCzUbHyPKWWQknZWvC0q/zBoYEAbnoxQUt35WyjYDVmGewr
GTNqAuNDG2sfwRCkdCH1D2ZQuoT8aMV4GHqX3P5kyGwjxvIFf8YIRJ1+5Xd+OLHOfCQFDIx2/yRb
D2HdMijAWwYw4V67tSQsiZuggltW2Dt2xYHhit3ICl6gdqpNO4bJTdIxS2E+w4RjE8l6Nk9WFi6m
dD3ynqd+FsoDUQrbPDhzWpbbUDmJXAdAZcd1Alfxtepp0uZ4PCWXKqzSt6bok0trUfq3UlUlk/No
SXPe+PnUlcCDJPpnphSW52oIfeLmVf81txaMsdd3IMmpH/kZO9Iw1kZXY0NAHbwuLABO5m4AbqCn
pnsCOjBmB2FY+s6YYRRykC2+A2Ay0nWWxlG+hT5pvLSNM+GNRKis9g6DiDvDckPCvA6xhBXXiDla
h5RJP1V2Pky4682Othxq8qp1m/vip4f5BymHQMHXWUKL3vVGE0BDkDMztUQl9hoVhGR6KjPs6n3I
uEcwVtuJuhw2lmqbu3oy6rt4UOpgdxXGa2pZbxpuAMYKm0ShNznEi23mFvWb2XYjUlpq9+sJEX1d
wYQ7geSxtpi863Uw1i2sKJ/pxTyV075zmmpXuWLaEXQdUYXC6WpGJddbN2ufR+jaX6g1pWLInukm
9yFhvBRhNz+KahzvysgD4dCNwzoTgb5NhZ9tcxDnSK5Ndu0FMlvP99rLfMSsLfTSzAoBAjnV3EQt
/yQ9K/CcRoLVrY/wMocqPBE7qQ5WEQe70qbL1TXj4lkJh/OFb38GGcBozyOtsISJm+E8WLwGq4Ag
0ApxPHsISM0fSaTUUP1MOn/8pD1zZzTBtybT5zoqaw4n/XiyO0pUYjmDsDE9bpwewQtcXA6//8zC
aiBcMd/b1uBv4OyNtzzr9p5abhqA48otf/ra6e6p8LBIoLrikXL5+XlRFA94rCf8bGkjuUePdfmc
x9h0UEjr56zq+p99zIRSCveICx97ZMb3Tk14hXChOu+O20jztbGK9r4sHPEGP9Kt1o0lg0eL9OC6
BF9Ic27RuwkZiwlf95jadJDbUFIj27Pe9Jx204rMjvMZWARxrgG7m9LEU8Yolbe+wvGexka7jWmr
YkjE3ffB9mV4mOoEyE9R5e+yDdl3q8a0COAY7nSbypIpEvGP+qcFUO55eRCe7FnOP2MS6vXG12b+
eWZEcD8V450ERT/QjdEVai1dofk5jWbY5HRUf7XtKDb2vTOW7ibI8/CGssH+NLFGPIRjEv0o4mys
Vh5FAV8yyu47RA2zOthehhqZ2qH9E7s9/RV0STQIHpnlPSFPgLHoe+7D+AujB1VE5ZuHIP3DGvqS
aybtE3dm4g3Wug4ockLgHi+uFXViTaqdJo8agjToe3oqknDcWr4JRNrjGVAUO0MotUwG5aGjTrPp
Nhghc+XB2BD9fMgn32225RT3d7BhckzeGS9J7bkE6/3Oah8iK2/2CfaYajUkfftIBCLZep7dHDE8
emfby8OHKHecryF1HPDV5/DV0ERv6mJkzthzNyQbk94HyssKAq7ZgpafLTo2bS7M2ahw1aEFWEch
JrrUMr+75g2z8ZWg9PA2c8fgBjXOtFgfjJ5fRO7QfeC1kT5YDKMfCX7mT/EQQRFIuTMPAJ3Owo/N
e7tM9SlxAg+pfihOSdYX0dogjbXNsjG4LcppOgzV6JLOVYbiJSM0BfYQ6te2azuPuVHSJJRLe3ga
eBWszx545fuoSSNI64N3moKweBvbJngjS0huPjD5N2vbVu+i6+RurBLraRCJv52dUm4ZEfiXSKn6
exRG+i2o06WCwnY7PKIGjWaredDq4E2EVHGZLmMxUf4kDKEAXXLaOPSc0pE7bPR7y23dI7Gn6pJq
KugqeKWcZm1Sg1K7+PiQ6Y9xPGT3mG4Nks2mX9QLJ4r91q+D5iaIWV6w1roLi0AP+s2wcwbacWGF
5GAmxreDW/S3IutjVBLfyZiiF7K8homT7so+me4Vrl12dtWq+5LiHYgeFaxcUaTMdLOWra4c+obN
a/Cym7Ydo52EeXyK3RY7sGOn1rssdNiukBy0uQ5tOzkH7qSDnWUN5mdP5skzezYDPuzljAxkQFVU
6RruOc99ZjMIs5+DmAO5YNa85INS/JeZ1RvnPAln85gMbflEes1mgIzp9Tw3humc43Kyv1S1ScR8
dBU1Fh4MEZdOuNOA5+IM+916GE3fOjlBnAHmoR9F+FG+mqtZ381lyy+ExmvSFrLrvrhBU/2M/WH+
Ymrl7XN83Md29vNNOvvlQxA2zkUqYmCryWu9xesQYw7TNschN3LIj6Sq9q4JUambPGyyL1UgvCsH
tsbZh03Z07XXBvCCp97/GlD+x7TMezG5kO4nj14ry3B4nCNn3gSqdp4MRiPHmCpDPAlc+Bxm+a38
TFUb8Ic6D5J97FKeXUamfrZYOmt816omjShIqnUzOBlSjRB/RrCMXlL1R+JD/tbqGm8fLnwxhu7N
CkUJu3Kih1cKx5ipJ5njrXNbZl/9aZmzxr3t0xxFAtOe+tjaNMIcfoRuS04Mxg3JEW9r1gkWV7td
PFT+AVtGtuq7zD2Lzn9yplDtdTA8QiWrvyj0uf3gKIRHOfisWOkArno0Wub3VR7ljwmPyZdmNMcV
HKn5kGhqp7bCFgmFpqByTz1GR2I2fd1F25Ju4BfA19M3YCSU4Eys6h3eAcynbD8UpEJ3qvH6gk5h
fhrlssVQHs1kz3q3Zdmu6R0nHskvMRioz7XYPvdhSgaXdu/sLiWWAyGOWheMnIZx51XJE02n8i6i
0/EpMVNcmPB97WPv6H4j0gquRW1Wxo/aLUygzKl9SPOJrbeK1C4yY2edJ4P9pJ1juIh4M5W2NYOw
awv251KY2tnqQiE8BybIgDIujoUwyzX2k+iu9bt6Y3jiRmJxvmEUEIKwMvV92FTJJZtzscuMxADB
K9hjVzrE1LuWjZabIaygrxRBeiPGUV2ihhaJrdHGbnEoAPVd1cxhEbiF6z27A1Fi/OZVDGpzKg1i
jRwQn/tIef7GHp3ouWGtYweb3IdaaivdLPNuEuVNmVOBY/gB9kwr4OlU+Jr1BOsikp3BWC4Ck8Mi
NmLrVUPz0nqCWDGq+wVQQYgxqRy859ar3HsWO+BARWPGX3mBzZ096ZIjtGEjfwR5+SjnMbrWmatY
UTviUsFc+yeLH/xn4A14tmIdSSRpzpvHUhdRsspn+i3WjuxaEl0F8rrd2m18KPLaLlk1J8jUPcXs
5ipCgqfG2Cz4lLooQtPpWyg7mLBda61mB2ig4bSPJZ5W/Nmc2Td1URa3M0VbX/HkT/WmGaby2vty
3RBq6dYtPIJpNTmDeeu3Xv61zUZuaLHDROe2BcpL2VPT5O7GjR3aSAgf0gQlhpHpjgnQwj6MtUB1
qniUD+FgBV9CUlWwdWSIFJRJHtV10TPbODFmJUlSlxPcfW8WX9rWcKJ955n+OZg0trDUipLPFW03
ExNnRRGvk1bOzxbVu9rXTaGmXWh2jPtN6WNCzSMejtvOXnqG8pwo+sqPxcymRx6WvWp64J0hWU+q
EcNZTC2BYvU/d/FwUH1RnkcUoy8sS+6DV7EdJGkYnMth6h7hs7cZp6n5i54jMLxBnIwkYZilrFVs
UmLEkkQA/kMg+kcCCEVu/PfRYfEvIePDRPn7//pb9eOP4sf/ZxDCRUkGiPf3SvJ6UUeS6E3Ff5JI
Poywy1f+KiN7nxZgZcD48i8KifQ+kdqyTNPjFfiTRELbL85FEx2E4ecS+0Jg/pVEyB/hfV2KLjBw
C89E8/gHhlaxzE//qJDwSAL/lMiAy6TVsf6iIvexJwuzWOYmWjWfi6aSL40U0dWHlYNfJ1Dj184w
v4WZUD+4U5Svum+hIwxx3G+dVoPRHSq1la4RvCgagE5DUUcb4Sf5O90y/Zf/Poz/q2n/r6obH97f
P42fOzBNb3+r2PG1vyp2grpoNDEUQIb7JiP+3xQ7KT+54NT/vcfFFp8cZhrWkj8UduAtU/jfwJj+
J/6AEN8vHoHFlf0PHkdPLs/bH59HgWYIEpPoAbP+ANLWnxW7OMQCyiDf2uMNpHxa5p6G0EY4bx+E
0n1rp9C6F+CbVzQFm+som8txbWaTx7bktN1Ou1JfwDwmZMFQqCDHNQgun3vqqcthmNdSZu4m9phR
yK4evsVJ33FJS+zFYxwZyTqgcDVdEb8AuDIVfrb2ZUJGMRekwLtmvrU4QGKSc7pDWnJjRX7y4xW4
lHFrZhq/dK1+RGqg31AuQC20imCTB8K/MTsO/RGq9Xay0oTW5b7ZFRYypNMVybbtUv9MxwNpmxiZ
sgFCtofQEbynpKOLlYtxdifa0NlXU2+ygyfJbVZ7zZ5PRm4Ke8wk0oyeT4SPrY0ZtO3OmmUJ9BFD
V7KKLSLpAKvhgkU5BXg+qh0dgVOmwbcNpHnc3r/XeRptvKau7qjqrb+ZRd7cOBkJu9l77QLzOlfJ
0mmaHxivXIZBnmd3uo+NPl27Tn8nwSoYfHKbkXPCzlao9HRCHKEPjGSWKB1bJLGixngwwi+Ps9B7
6lyJkwOkZWhuaLm/h0x+VtnoAy8pnE1YujRq+wvkJS4m9usuUADgyt6quI0ZE/AMFb4G6egeuVHU
d3Mr+mo9W4ZHBwp9JyqdWoLQhnkd45isotnZcJr8LqMSJRDZ0StGeRha0tKsUsPngcGIoJrFzaid
muE62Ia4sHQax8rC4NbaXUi01aXsgyetXfWlll80lu4zBcuavGBsr9ES3Gkbwkd7T1hLtyZP5SGI
KxoPKzcu9yZa0uvgWt6thOywysnCfVN19bWj9PdrENBtKYsyeygyZ7gjFOU9c5vIVzSpmZcyaeQl
zQFhNsKLN6odLxgzostgjuVOceU9BKbO9kT1rHtpLH1hI/oOh0IOtEC4oGeJsL/xyzi75iNNNas8
g7MIjVNcpllVCKMilc+dtGK80oHGqtck0yMyzXgsdCvuLBpOnG3k1sObjYZN0Sul0VgqUvAxc/eq
i1BfQg6Jh0Ca9lNr+nS/+rrSt3QTqtfcC4kKZOlM+fAwGi73a8rER7TiwlAbh/7TFaZ0Y5vZmiRw
qP36YIDk30NG4q8pXU/fDRiYnx3w7lBYDD6KJhsJDLURG/iqHOzqPEdYZmyijyeZkvUxQN3cslxw
EKafJLlJuZwA9XDyO93N3WUgTHI3isEfVxZQlEfKOMXJyRA1Vk4jqu9krqNbs5tAp1oitcDVNLD7
RoliZAtpnAlwNf1aC10J/tIyvbWIn125aWV3La1/W6SHctvlAiqh74wHKbVs9p2h63u/1uGtj0Xw
Ehc+lR81SM8V/Ub2zgfOopgF5MnFSkPgUNXkXUTcjmeTxPfetK3uQl28vsZYL15dTpCc9xCi7bWF
1hk65Hnd2g6fhCosylLminJxPED4RdSji415kzhDuUlykexlIni3Jl1k1ETk+t7vxXjPsE93vHCq
Qz6jVIIldUtg9mA0piJOO8SXjDP+gbzGcOqk0dwhPhV3iSvd58bwNGBQs/qh7eVmOI8VhqTZNx4x
Hlq3Q2u5zyJsDKy+tU7PJISpDepkinEYeFpT2vbPEm4bzlZdP7uVKTZGParnJO4THoqs7+j1zuet
jYFylzoBlFzMxjuzjTUu8KjlsqDSYWW0VvToyCLcxbHfwfD29XSsstK+REUyU5LouXs/6Ghx5m61
ieiqQ2Tog5eS+oxd01r9A47zhTmJ36jutHxJtCj2RaTiXWcRXLG8tr/BgLtQKzEvEUQqXi3wb6+B
XxR3vTcke0IfCfW8mcXT7nXbYkCDJTUpraPKhmYrAHA4azfP4lMGMuUErafZ6N5XR2cWxV1N/xY8
4eS7pUZ/7ZXtqY4xmkh2NWi6r7VNQRcoYPlAGdU6Ksbp6McyemrSfPhRtibEUmWP+04tcFfZW43Y
etNMTt3MY5i3ytF6Z0y2F5FgsOtLLY1uPTvEIVVPAib3MTWFpgU1NV2MtFAgHPtFgThjwmRcRTUc
iohwg0yi62gwm2Cp3gpA6usiLZpDUBdq2ynsAGLMy3qrFBI8AW/Xzk+Zzc0RhEhX4EHqSzhucQ+T
uUvzI6ad5WcRUblVI/l4POmvHIpZmftKNmtfI6tjBHP1o2rniWGCNW+tRru7MihQsw3lFluGCcGB
NONEiSg1GQCYg5Um4DijYuRF396ZLftZDYKTwbJVfyOMW5zGml8PEHn3icOvzRNbO1cMdjYme2Y9
oi2ns9DWvrPn+YBIPTOvtvIXMYbvGZtWXoRv8Sjbgy5wSfilcQBfteqcaN24VXgMuHVCfjbsBwYr
/Ym7ovkIBw3woTKYAcSyJJMFzI4mIjc2nY1XjoJsd2JRL2kaP8dQeSdBaPyZ96O5EDvqD/a8jM+p
hH8vKAo7+FZNNsaqZ64mLl6PuLz7P8yd127cWJuub6UxB/toaJCLGRszwFQuxVJJsiSfEKXEnBYz
r34/LNvdltvt/59WY8M66rZlFothrS+83/NOATrZ5jAu/Tb1rrkBKdeUwbFZGUvn4IihJl4vgwvN
B9rIL+q0ZXoU2+qY7yDgqWdMI6T3HZPoyxZwmjrHwgPsKDWKaiOsGmGWa6nuK4UEfe4x34leLDbK
mdQlc6e+04UMemSWsbayMNhmRqbsmTzxw2XQG9AJkVGpc6XKLHCObpbviS/C7JxMWQkWSspo+Yxl
YB5s1Qrx3oI6QtRdulRbTtDlJVc4H4UvKSsOEDfD6uZJj0lXpVvhrZ6mjBwQ7jJpqmk3ld0mq15k
Y83/MxmaekG4op7KaG8eInR0VYYiqHJt1BTP68buin3VdZcKjs9ZQdmol9UWH9V80TA5O3PUPp7V
hBbzCQEwl1XXP3dh3792hXiuQlN+spP2YBVYAjOA7+eX2PVawLkbUMt2GM6zXO/ObF0mBKtqezoa
Qi5yj4Fnu4I72SVsT5Xa6Cd66dyIsYM3LagsUad1FnQKqkVQ2RqqOeyozMTMVgGF41O6qd1lrXnK
2suZVavjtF53pmYxkpRZ51Y0eM84wOor3lF/ndEq5jY06U1o5tRTdcffUZ7pgdq29UqBtQuQM7Gu
fduXZ7QDsPKKxBgtTKNOsCBsXf+ENnK7quza38reLh+1qO2X6Ha8HW7azVLtcnsuWaIwF4rMiyYP
47mSeMwyl4qPPZ3ehPPOwWUxYGLEXGIFDusjbpV8LsLOXgaeGqyi2vZ8oqsOSYmbG6c2BS7oFT2G
H72lXXu1G+B2BTOqYURiYw5GDEO30z7WkjZiIajzxFbbbcPEy3d2lwzarLFGgQu2qoT3ZijrTdnF
xV6F977oRUinLMTSD7SS8ZGNLuH9kw7ZQWiJpdE58Umopc7G9gCyNn5B+y+LnXOrMpPbNs5Shosz
dUkHDOh9DPyIuWdjhXJT3WZtoeEd7blsNQOTyUQD+iLEJvWsUusrU61WxKnqWUwjGPGTvFO8fIGA
K7hoB+Uha6EIYa9u3uoZMhjLkeC+cpKWwqLeWgi1PynMoF5KL0vlrDfCDl1MXtPfTPG148GAz5fW
2MjhOm3dqMZoQhiqPb5Bb88AIHgn32SWP9AtiT/phr7P075TVihM2EedGgYbaAuMZuoQbZXWteGU
OuFK4BO+YDxduS1d0d84mubeD/ShL0Uw+qe0isoH+qDR0kBlDIKBLt06aIbiptfdcaWaCvVHOw4X
qXSVXdZKEfDShjQLDO4APBODUELxRHiPZA+ARZhkAEJFna2LFpiIkcWnjhMqT76V+wtd6XPcA5Jq
Q8v2I+U+Bvzrwlx6oM/vRdPYsPLNeg5CjAkfzh1LL9O8wD4NTaepS3ORMq27lYFtfyJS93HTA6yp
Rd0hb81dUyM4J0KZwZyiMueKYWGOwXBFQ/IMltN4xlQXDu8xvK8Z86q4Z8YUTizUopLqPo4F5jN9
BPgS1Bux5x5SgsJli93aHe2/BDxi6MQssYHVnnm2TdOqJNoFyyCsqzyv2ssqGSM0qiwH50MQixeG
hMLnwhvbRWEozGHWgdjnY4zUSqFHMaKzU5f50FqnRt0oGxPNxqKKxrwErUpfFWaO2r+0VX9fBbho
ZrSeV4ZME0bKymQFZxLSVmHqM12OIXp502kX1D5re9aYYMqavK2WKNXDyzHO2KHphZ945K+7EAIH
02Kg2Pa86O62d/tuK3Kj3Y4qEbbGtNYrc0OEgim1VoBgnanMG+IFNAj0euy5oyk5GGPi7PYYcifH
8FtMkTi7MEF5VHTV1JARK5VcHtPpDkKvPkXy+jGod6b4XjtG+jRke9YH4v9Oceozd8oJ4ik7SKY8
oUlaAVjAV5zLKuq0VUHX7iadEgx5zDVQfnOD5JSC6MdspJkSk3RKUdJjtuJNiUsnaQsy+CfmMGLd
iXZd4pJGK37mHlMe55j+0JvLik1d2v3codV80ksT4bZRwOuTMQ8ucwHR3Dc1+1Bk9HaxF8QaNGvr
nYE0bj3gVQ4absq3xnK8LqRhLRKl2CsiDDeFwgXT8UTdp41m0JYiUlaGqldmOaEwfrjwKbHJDWaG
9Bj5aaIGkLtDGEahunbBR6vanShNc95QnNy52Kt/LLkHqF2mlDGeksf4mEfSGI7Pg7imUkCSaWRR
NO+Omad1zELdKSEtkEevyylJbaZ0FSE4MwJksMWUyoZTUptO6S0nOSW6pLxySn6TKQ22poTYmVJj
U/Gdh8woH/oqih+tKYFuplR6nJLqbEqvYfGRaY9T0h1M6bc7JeLDMSdPpvQ8nRJ1xhTEaT0l7/2U
xtNdI6OXU3KfTWn+OCX8EYs0shf+ti1R8DfHykA8FQmaqVxgToUDUTfu4ucrqvG9nFdDYeAammVR
fmPi9Age+AYsULmuTpJQKuuhdoyTLA63tfAcGLCAYIUgTheubu5Uo2YOm8kXMTdxPlijidEeKifA
ikQyPfg8tE13kibGcKo4GoPCVPPuCQzyj7pTnDUhTpGNSseH4KlDQVGD5EiVIuaeRjrNO3uINwCQ
KlKBOtLsheUr9knlMNixrAfOSndFS2TljdlBgq8t2XMsCO3jtJChU2BNg47F+jYe1zrjuO7RZ0f5
NS2GP79gGgX1H1QKCabFVOayTUrk35IYaK77g9EPzppO3/V4r9+XB+W+3HcX1RWEqOwSd/Gff6KB
PPL7T8QKxbU1A1GErtrffWJHgSXFttlbM3voPSY5PnzM6UTDBX2pUcyJpCfH3xLtvwYx6VEzR/SE
qGdfmW7pYUAPobdCczFwL20i6uXo6ezhAtmWuh6B+N1VgBlvQGCw1WF8CgYhNmx0Vkx9SCDseXmm
pxJCPxOqWyIZ1ifKKTPLdvZNPzL4SPhJsSGNVomhlath6to7OLl+sroIlxgGtbdtaTprrGQU7Es7
edbUWXwVpC2CDRjLmLEQEF8HrjUylBBGoNImK9qoD+VHMGnT+pWK5P9zSf8XVNcyf6CrgmRIIPdX
8dD4ORTl7PBM1f7bDtIPD/CleM8MAdV2nfYu6lm6RjyDn+W2TCuYOi7srBwG/yEonH/R2+o2Vut4
Pak6xbQv4JSvzaQJLmgj3yX6ZfkwCfP+F9V75+j490f1XhGaYU9q9mO0+M3iZSQ1FixxHWySzk6n
NZ6hb3Zl5r+dIi2nMbNsPLWVzFk3uqxOVIq/J0yRIfpoLfzHu2LK1jNnMNMFLrVkvgoFy8p1ho9F
lLpUAbFbKfD0SOEihNS19ik+Bld2rBr93I5StgPdpkJdUsL1kSoVreYtK12FL1RFpfAfmaFWim0L
5POcapR+ghdmd2i9IXssgtiEU2BExTpPMyzPRzMkTkvaClBpN1jWJ0ahSDT03O2H9YDekwpykrTl
tsqxcp4zx2NgZsH0dHkSOVZ4xcAcppfMSZQ3pt2k17Sz+4UVN5A6+kFaD2KI013fa4My71sRt3MZ
MZ+/QjUSQFGlIPBQRgM0EZfyBv2IuLb3fRbCEjZZop8iU+lP3Cg1TjSAGXs0P9lyio2vCbmbO1Ak
5o6ZxnRvp2j2ldpwN6hixvVUKV5CIre9s9a0pjIHijbdR+ojEO05q5ZBQsBwogmeXCS8wUZJKpjJ
ibBadoi4G08LxdJfO6/tr0Huj3gWpkwPen5RPkAaMDDxHhg4CarIk/PUiPxb20iYtWyatN4FsGAv
higCUYgkdTSRLQ/tOk6oLzOI0Xa36LqVjyXTnMiSO1u9pSAJb861cLpZhkQS8C4C8RhpXbmWo1PO
NVFju9WrfrWDV0UClOP2YC/Tgk45Wp/6jHF0DAdKXWYbmwpTtTVSinuzWMvqTylVcexN0Ca8+KnX
35htjtljZdSeBioYb24br4FzCHNAAlFpJ8midg2odWVUuZfg55OSvTCi64TeBaTIoCR5eN6Ndg8b
YChzY4n7iKKvkJfaLxlSRmNB/8H05gx9FePSKgWwMMVNoxxpsiw+EYAG9+pE97XSsM8uU7MHysJb
A93D6pK025iZjaU3F7Zv5iFRDdevpUQwh7+QUdY1h2BvakEpufqWf59WuvcaRoU9nMhE4EvlWfUG
CHSjPRVJiyoGXZjWrvXUG3mkerPO8SHQA9o+zOufNS64ypmHjGyLBq56aqygXyqyaLKFGqb8fyUq
5UxTQkDcbcMokZGPY7RDu2AxK9t7dGO6Ib0ta994HswxfOgBdhBi0bsrSLHTBAZPbq4iVYmN+eSG
tS0CG9lkEGGbi5c8AwELiq2JM1fzGOUmFYhmNbgq6P9gHJwXt5WWWMSVC+PMTkw6dX1tX6mNV22h
bUyuzGnTXyuJWz260qzuoihQLzA6AOHQVDUz80EP2bqQbns1aVHuOmmaM+AydBBGtsw2oS+57J1o
Ilm2XrtMhVtDW84xphdFlnAt0hxJDIKr4m5Iq/g002IzWFqRhbNcRBWeSWMf7xfN0wEy8VR2k2Ay
x64AZdCsjWxria68fYIhAhlaixrbnUP/RNAZJ8PegsDmrNDDFx7GMkO/nuyN1lqRqFvApuj9Bbfx
Qbrx+FwrFYxPUatIuAF7nzd4xZ271BupIeaGve/SIrxuWwUwd9Ja2lbtMPM2YFpi+t6ROJJCUoPs
MgWMYpPdT6Oey3bsglUFLummblhy5nrqjyu80BIaRG6B30mtoiYcDSf6RKCeX0aJNJdViWaPpKrf
AmYcnxtAgc58CIJcW8dxrttoHAfufRMXATiizi8eQDzHD0gMBCRCHce3udnbcsYaXt9yd/p2pgLi
uNTpPE32IOVwoph9V806p9KZfnCoLHih0sSQGHWmSz1cdB/J1GkoGg0PYak20NaZoIo+ablR3EOW
7dxZWcqcZk5jML9hUB0KQItGcTarbXJZuJVq8bGKQIfshZOnNbdEZ9FhDKykfkD2dRpEAwV2hj+1
EUuOWunJhAcosSLpdGMr1aHSL4uykOdIjT1Erpk7xAssBd0LWdrJYx/4wWugyHxRVGp446PzR2ad
MH8wA77orKPSi4I5zVp7iRVIUTBKbYcbA2qiv1By3F+MtuwpEEGGOWm6Fs8ys01S4CR5nV/A1IQ5
D3ITkbfj9buuKPVxocBDXbdpoG61mgFcQNCJMccUzOxXpa5HZ7rUqKKIvNaZ59ODdYuRB1Gkj7FG
RetQMuhwNkRFsWzSNANDXxqQzkorjR7tMs6WaqKfdn3YAalN4O7MSOfLqyK3qzs9oUNIkqJiSj3U
5qTeZkRhllMsghpm5ye8NmZ+l9KZiuhaVxvbIiSlkmHNBoYmaES4p7U1zfPhNwOWPHOTk0DvSE5p
3JQxc9Ceqc5YdjLWIVNZSw1Ze38ltJwWn9qOzwm7ARt1WN8kWeKcYgAwVVY8Z84Adr3PvKZ9Ndh8
1vACKb261sEGdbMYgZBtRhSoJHdVdav3pr5xYtPm1U1QYdWOhttY6GL4Qcva3TUaigC8RBp4ZVTo
TzSPejvi5IYmgwZJVGfWQy4IovuzUS9p3fm5Cu7GowNrspBPFnxlMdN6Px/mmFUoqF8tzYvnAdWf
dRUNboRBThlvx5DZexEZyUnPo3bmODVyXTc0TpugcfCnLZrq3uU5W1Rm5jxZqCMyUgejvDTSxNlT
LWMOp64z+JSF581oUIlnlwdm4WHXdlVG0NLKZAyNJUJGY6OadXGrZszYdQ23P8e84x6hPkPgnYhH
mnaWr840O7Ivsti1nkAPM34pXWhMlqyLaYbSnI91Wd+Uoqqeel8rdhZohvOMbjzsgDgCvW5W9lJn
homitRqicEZFWBNzCftTOurRMM+bpL+1jNCQMxP54YsXlAETnIp+RpXCBuiT8hbOuqLW2EAZ7H5o
jcFGhFQ614qhY4lTqp7/YOPrU878sO0/KVagfIobCPhIPCJGR93IWgdOYWMnaOknFKPiV85X7kBM
DY/u2IQQ8IqhIjwLJVXwVjo1xLwOQF9UdSaKTR/u1cxiQPPK8aWzsvEv/TiS0q/sMksPrrAINZi0
6hg+qjyaqp6sMzkXpe6vuVXdmeb7OI9jvSyvQjqEJeGLBaqvHhNWKpH3dYKPcSBDetlKk6+bGqnD
FnSK6i8ct7eSVaIF2kVVFMadsDsI8qKi7LEK27TVoNA7vj4LBRjX0LfHFCucvqoXLX0UeL2jivSS
3iAmTt7QyYeuDmW0kNRe8nk4Jt45VXBYXyZp/ZYnxB3nuQjrgx/YbGpU/LR93Npc/8pBrzuDdtSg
i06Tj4YRlHsYfVU8k+RD+2gw3EWrtcwTCNU+DSvTudRoAb2EWAkmzOFWmViy7zJQYAuMfmYxdu3X
NEXDYAm9m7euk1WQgUQdcQzSFFKYHRiQFkpBaxobOxF5vqD/VIB5AN8PD4Ktoj0XIVLlGXfB9+e9
m9trC/H0PklEUS5Gt3PGWe4mxmuUKq65yOBO3LqmMhxCR1GfHSdpGqYvRnZyRs1qfIZ6mi2zsimx
tE2iqFgmVR0gmUn8V4GuZl+PVOgGt9DCFTHmSAHMCZejncurxqF7IynwnWkZngirgagtWhg9wFtM
bhzWqSZ2oLJV3sHtSrFXM0KMJVGvq8xl6prJsi8sek+055VXyIsjMVojt1TCJnUxTIeV4mX9Uto6
r4nBvow/Xd9oyzJS84PuloXYRS0DbRhwQp8oRL/L1aQY5lmRd7hSFBIKLU+VmHtpGeyYJDC2euxg
X6OmtBeQ5GNRQym0xLIPUUY7tzmkfxuFBucEV7z4WHS2Uy1K10tecyqne4y/AUYkakwV0iuBt0fK
uLAbsFtS9rRHdVkvMdQsmJ1TiQBxGGJMy8f4a9mMMIa9IozNman6xSFIFHka9yNzQL1G91WpNfd1
MGxvWIMltvtzpt2VG6BsHMUJmPPwqZCQkpFzTv3axjvJeaafhsQlaB7xPdmzc2Mgo+PCcoqNRUZz
X40LWn25vlaVCg+yEiazzR6y9KUol5ZgNAliiz1ujSiIZgoew0s3Z9KpGarmnJM2TgxdqPfEAeXS
ZXppFcNDVnhpkpwBE29E90XpEA8RfPv6KG72udFQPEl1KkZ4Z1A2y0o1vGK+MVlqBS5VM9NxzVM1
FYRTZuwtheU9Eqe6a5V3cpk3NYV11/U/CZnWj4NKV32mhJq38AcRf/Kr3L7yR42iHdlBdIKzQ7Ie
lTSd0wHqbyDK74ag1h7AzwRXtMN4L0VPqdSzzP7EKdtuYxSJf4pWPOa6WyHYaKw3AACE5jqPVXFX
yhEJfx7m1hShMxMaqCotC9swgGrUfkQ0G4fqo8kSswkJS3ED6qPqHBkC5igtoOhGtoCxhRJGNaNr
Y7LFeIogmhZsfpP7RLyEcNbOwmTl2hgZBbCtStnlFUTkzsqZ1/Mjq70plQIWMCuv2Fq+4yztvg1u
ePU8jJfEyNLmNcynYQ3G6tK0LrL1DK5bNhTBie4F1g6ojYWTj+PAg9ctNT43Fb3ZBGGgX4RiRHbm
Ub2+lEnp08NRU7DoamNvvdQfGGdsovp6EEl42yRNu6PMZj7x7mo7LZDuS1kF1Qr/GA/bVzGASFY6
g/p5nRPVa3G0NUsrArWsAjhXW2oZac16FTaNgL7npJh5ZE2waLI0BZpTIkzH/WgrCqugfWr0p0rC
l41tDsJ4QAYpqPZzbMLorN5JtrqAT6M5o6ra1GyEEOMJ3P/qoMEbYGjojs4KzJVWZRxR4tdFf57j
UEJdkcjFRNMfZDdaqgFDMdpolxvi1SYZZFeGZVgtekaqziix2jAiDLls45jRHQRk3UeLTZl7OZa5
s8LOuH6OKcTO/5PkPCm8TE82+mAS0SSy7xeqFWGPOA6BeUknPWvQQ0Zq9Rlj8E+r1Ncv+WQfX30v
Zf8li4hIsi0HprKhmTCNtUmZ/dfi38XhWR6OUJOLA4L03zaH9iUJf/uf7Pm3v+Sd2Ef4w3cf8bnM
aOsfqKkLxFSGibcUv/N7mXFCn2gQTGz9CAX71nQE0Tr6YMZTpqqnQQH0D5WwiuYYswlX4+tMh/xf
mY5o+qQC/qPOyIkf2Sc81JplCJO+7NvaP+lSF/nWaCAXvG2G/Ny90Vb+ijYPUR6G1M4E9Vip1V6/
BQsPLhK+fFWGqzC98/C4DqnbOa2Bbjj9RESPoecmSFF1Kiu0B+uWoMKrMOlzHoee6g3G3bMmvGu6
T4RCS4UaHr4N13qhEBUPwEjlSldOoLDLfp5sELa24sJ/BnM6y8yzAdlO1p3nEjNs65ViFTZSMHyZ
YNSsrRkhicJQ5YLlcTF0yjwJhnU6hYIWpZ6eWULSG14fucJCw58i44seLzUXJ4Ose2Tg/7aq1at0
8rEi1HNmpo55VMX8vpE91cml5bSsMG1ckzghaGX1TIiJQWV2tthpeNn7ybjVdblSB7GZJubg6iZz
Kz3TezBOhJeXVSPJD3y5aGDDWJG6Q9IIgDRiU9Rzms1GNs9K40FFrcxtWra41OUu87tetzKqeDXg
ByNxUIgsibtVda6H9a629AuKI0+xbe36nHNlxglrOE0AehoYsRlXIgWPCnUNioDB+KVF9mFRBsKy
Ltz5aUGGj755CrUuygrmQn/+zWvzA2UDedr3zxbvncp6bGuAf2zq6W+fLXTjVR/mdN36Mb2VNVoV
w6h2fWtuWEmXpgDYldjWSR1n66S4pB+4NjXjtE4xGwCNCPK1wqDD89zt5PYYKyoTgthRRzFuUJ6+
09scqJR5rRsmjeuIIIrhzjI7VRtjLYvslOl8jfFCNi60v+OVmQQbx4Z0pbkXNbewGMJXQ5p7M35Q
uMzM4M1Dma58rMZxpJoTtyIqmfBo1Znj2gtA4gtfKhsIDTtpylWrG7tBdc8sAxnfMIW4SByD+iaC
dckjCdXqxNA+WVQgo7E5YZzoQs2pOym5X85smxKEy1MZD9mqaCHF4CNToueCf22mzmNaD5skUTG5
ArtAwKPO42Y8G3us3xzvMBTmKsflJeWAUGen1E8bkLmRwwgfbviNkPJcesam0rqbrP80RmZ/WogB
SWSm2Q+lpyMUgfPGMOcyKDQwXzwinWWsNMvdUOl9VnvOsU2HS39AeU+kx+A58eBp2dEVsMZPP39M
xNTre7MCTdkh2B7VmQZ4GO55+5SMuerESC3xFcjjFx+7D4/L50ntU0meNbYSvYHcl158MTbtpV9J
CqP9RRgC9o2rckXbHz2tGy2iqgAI7l4GImXtqveV42YYQjM4GbSvhZn9i6ebFtF35w3IihomsGms
2Zgwcr4zwaxI0uiOYFdT2hI/XKGj5uaEYQ/0DbP/MoFVkQRUZFgXC9RsCoJDRqGbg2Bim8JKGVAO
tBWq+LJkMqOwbZ5ZLB/JE8ERgkcWVnIBrvyahXWtJ/0ujJrrgkxrRIAP7ejZNzFlwMjC0516keNp
MkMpwwdbdU7l1WFpbMUrxt+0I+paoeNJBh2NBWLOotsHbbsDpnBaWB5mpFZ2HgA8WVmW+wlMrzaj
g35jacllywg8AoHiNVOiYGnqxU1XK69uoOOeHlqvqBOuKyu6h8q7lm2FwEV7LagIBeAS3Ywz8Mut
ZE54dKjOBuZH0Chr5MT4LMnHDorygEI2T7tlpSEy6+ZqG8zJX+6yghwZRZQBXiA163P0Z7uKAHlW
qAywOjCktSxmEri5i2R9WyLqoFJzP8blrR/2lw2qxUU7JS1KvdGjcl766sbE/soMuo2KrBr6/ZOn
FtcJjN1G6AsSFXpHJkA+Z+dn6jYvul1nIJ5MnOtUE+QrqbWg2790mSsJfXPlB+qKW3+mahCX2o5d
JryjDL2hNris7WJuUkvOz2pvXFYDmBswJokNZKC6j8brCdEFo3sRNKduEW+jzLuTXML1QJJDb0Jb
kXSvnXhcBlNOj6TiFZfsiXu9a1C4ljJ6KHEgmrlVlG2ESNT5qCMepepf30WpfZX7uiTqLBeZpBnj
Fi3K8ggepoGuW7yGTsq4r3tnUDX1lPwZntQK43QGK3LvLOM1JOHKd3UZb8RIcyGHCdhZ+9iPTg2B
SQm6p1nJcAbKRI1/Xy/cvFmh71l4fpWxM91HosMvpN+kTQCUijYF8of0Fn/Se78yz3qpf0xA3M9M
694cy5s+beolT/W29OzXUeinHkN0S/x+IRxq/unQ47/TYB+2gGaZLE1jPEM9Miut/BIpmVzbUj0Y
ILmXopP7XB8OcQnqEJX7PTVV/B8Qa8zxNN1Jo75tR+ekxRwS+CTl93gbo6RnpAozJa1HRh3daJV1
34jmVO37xxQrJDwSGDpI9I3SMcWvqjtMyhYI9z+mdTdzJA4Lhru3GuXcjx/QDQEvaOauF1xUbXiF
u9eSKP0jrdDXMRSzgSvW9y5jpzpqILzaa3RwWrn3lMc2dl7dUf3U08HzRb/SGvcJEe4iTG3YSaa5
99yXlKTRdpeGciGdi0K7MPXLrNmDbtxJGNyNzqitvm8HMWP26TbtK7gyjKQj3AW+OmsZWBDRSxwO
KK/Jf6p7273pKCaHvYFl6iu9woUmHhr/2vbRZDoSl8wroCx4I3X7vBE8Lsp5pO5RSUydozMV4pE9
GLOaPSqE7Yjk3zTSJd7sM8qB7A+XWvfkmsU8tfX7uqE2M/Bex+LecXdp383t5Er1QS2xVt6Vnojn
2CQu/PCxY9QqbV77KAcm6j72up6s3LZ6xApnE0p/wyz2c9sxoEtjjdQudxcDSmLaKd2Chi9DTTke
vlRYZ2gncany04/hoPjLXgzGsyIFHUm0wHRRnFWXj6emzG4Cv7QXY6TduLHykA/DXR6PRxuw0atx
UiroGev4iG0pMSZL6t/Z0rZIutoue8qbce2M9obe0dRsZJofaTlxFQ0zA4i4VLEeZY46RdxYM9De
aHJrdR6esDXCKst+TNv2hOmgF0xwb9yMLkUZiU0UDf4iBzYyg/YRLz17Uiop3iJqqb/TBCs06uKj
cZYXMF1UqiLa2q+tEwOSlJbLcwChrL6I70sTHG69RrssFgbgk5U0BgRqnaks6PeHC5qlyrwy3Brq
kDLM/jMYyXSBm2Nbbbq7WEyGcE4DUSC9l6MPOzRHhOdX3l4PtBOuTbiEdTPRzCHJ5TYmBXaGJZUK
4hzrDOv6GB38A+noOzLNL5++ONSH5XFo9Kp5kcP+BdxvXX1VbUx/u8vDrL7J/94v/fxAX0hwnymc
PDBZPZ0BduDZt/qVY0z9Jlc9ntLxfH92hORQh3Xz/IJ/JboUtHdE3+iKkzzzv/y57U4ITUo1X7Lh
b67JX33rn3+hz5fv57/z5pQPzykgf2C7Mnyqv/3SlPVVgq1/52t/d4w/vjaz3Y4BM9Se1IHffm3z
A1UAw0ajA3ObH3ISPugX+vYIkjSS9Hd9e4FVk0l0SoFAPf68vQgTadBGI4lE8he9CAbD/Dyv77oI
mvvBIIecgACfLwJln2+fBOsDQbsLk+XzNZjI67/Wk2DzGgidW/euy8ACYNEpIwMnu5p+vrsM2geT
YdLpoft8HT5f9l/ohaDdoJETvusiaHihITgVxl9cBJ4FxKCaiXbv+PN5+fmlLoIGfpPze++FsD84
KohaJuXfvg3uB3Jvx3DNL6/DL7cuCrLs9357oX4wUZQCUv3ysFNX/WZJcIwP7BkmpnlfVoxfbknQ
qfx+vjPQYPyX/Pcg5c8RwV9ujcLCtnrS2muf14PvFgSHawRRj5jhV30X8PC23rtDaqA7YPeqFJ3e
PAK288GgZCmo7fxq28FnW0iDMtO7lkLhfMBlnPlMiCXHn+/2A/sDWwFieFP7X+8H/8Z6+Xt4PQ8A
1xwD6/Cl+lH8/Ve/8DXC/PPff4kuj9bv1KLf/OIUZ3/+7JffMTH//eYVOcaA3/zl15jw+Dlf/vmX
L/jnj37zWV+/1dc/3IQv8iCfguH4F8OX05zaZ//1H7SVAtpNO3l4fqmCb6NgaDKsTn+c0H/9x5vT
/eYp+Onxq+qQfj3MdGUmYfnX//+hBcDvD9fPDjsLQVp/Pcx0WOZVCFTee7abgxwO2eHrgY53Ujcd
QpJ3HzlMD094+PzwSkNr561670ecHNK0+e3/HNLi//52emDuOHxzhQgupv3rvZ9yepAZmWn89iJ9
DpHefWye0+S7AxvTXMR7D3x2iKvg8Ny9vBRfD3a8t9MMxdc/+PsP4/nhORh+/A5NMxrv/4DL55DT
/3qc41v0ORh573XZNc/NU/Ai5fDm4JY+uRu8/+BZdHj8epzjWX9OrN974P0hOqDPOrypVEw97n/g
8b4O4zh8s2DRF5r24vee9M0hDZPfLg7PzddjTVfkSyjx3oMfgWE/Wlq+xGvvPf7dS1X/NnvJ/EPy
5uw/lwree/TzA4s5C1Yt3zzjX3Lw9x593UQc/U2B5/fE9t3Hzt+c8XRchj6/XqK/v6KwK/9ubXMR
PuWP6EC2VQKjsPp68OnpIWPUtH/iqf8f4MF/vT2h46NS808slOGYy7fhAIdWbeH+AzvsDYTk5u0T
9OXg/8Db+2NRzrf34vhZCGm+/tnfv/mT7Ge61V+PNN1pjo6KZzK9eO8j+3Pj9t9j078X7f0rn8J3
Hn7xkgTh10vwx2WZUpL3Xpa/lFZ9vvJHK6l3nv2/ZIy++/jBoa7D6k8U0y/IyX/gNfg3wJTv/BL/
0qrmnce/eeHV8r+P8a3fi1vvfY7+3RHgd36NH69Hf0ck+NMT+VG++Xuz4s9Z6NcWzI/+2dsUe/qN
p+TlIP/7/wEAAP//</cx:binary>
              </cx:geoCache>
            </cx:geography>
          </cx:layoutPr>
          <cx:valueColors>
            <cx:minColor>
              <a:schemeClr val="accent3">
                <a:lumMod val="20000"/>
                <a:lumOff val="80000"/>
              </a:schemeClr>
            </cx:minColor>
            <cx:maxColor>
              <a:srgbClr val="60A500"/>
            </cx:maxColor>
          </cx:valueColors>
        </cx:series>
      </cx:plotAreaRegion>
    </cx:plotArea>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_xlchart.v5.13</cx:f>
        <cx:nf>_xlchart.v5.12</cx:nf>
      </cx:strDim>
      <cx:strDim type="cat">
        <cx:f>_xlchart.v5.11</cx:f>
        <cx:nf>_xlchart.v5.10</cx:nf>
      </cx:strDim>
    </cx:data>
  </cx:chartData>
  <cx:chart>
    <cx:plotArea>
      <cx:plotAreaRegion>
        <cx:series layoutId="regionMap" uniqueId="{55130FEC-F9D4-46BD-9278-8702BB2FF383}">
          <cx:tx>
            <cx:txData>
              <cx:f>_xlchart.v5.12</cx:f>
              <cx:v/>
            </cx:txData>
          </cx:tx>
          <cx:dataId val="0"/>
          <cx:layoutPr>
            <cx:geography cultureLanguage="en-US" cultureRegion="IN" attribution="Powered by Bing">
              <cx:geoCache provider="{E9337A44-BEBE-4D9F-B70C-5C5E7DAFC167}">
                <cx:binary>1H1Zc922svVfcfn5o0LMwKmbW3W5N0XJ8yDHcV5Ysi2T4EyA4PTrb+9MJeFIVg4qt+qLX1LR1gab
3Vg9YaH1X1/Wf31pbq7Nk7VtOvuvL+uPT8tpGv71ww/2S3nTXtuzVn8xve2/TWdf+vaH/ts3/eXm
h6/metFd8QOOEf3hS3ltppv16X//F6xW3PQv+i/Xk+67t+7GbO9urGsm+53P7v3oyfXXVndHbSej
v0zox6dXN811V1x310+f3HSTnrarbbj58emdX3v65Ad/sX978JMGZJvcV/guEmcyjjlTSD590vRd
8fvPhTqLYyWpYlT9+g8+/u2Zr65b+N5fEuVXQa6/fjU31sLL/PrfO1+9Izl8kj198qV33XRSWQHa
+/HpZfdVw+tq2x9+++DQn8S+fPXre/5wV9n//V/eD+DNvZ/csoevpsc++jdzvLwGo1/bcjJ/p0HU
GWU4loSp+Nd/6K5d+BmKpSL4d7Modtcuf1Gm+y1z58uebV5e/KNs8/7qf67SP1TzEEz+D/fGxxs7
PUluAK3NY1Lc3cPfAysmZ5IxAf6G/bY38J29IcWZEjhWiPN7MfsXZbp/b9z5src3Pib/qL2RuQpw
O/2NdsFnXGGOBMX3YhadMSVijhD7zS78j0f/5kv/gjz32+TPL3r2yJ79o+zx+qu25d/oQnF8xhCJ
KQUf+tu/uzChZxRLRkn8u4f1XOjj4txvjT++5xnj9bt/lDGeX5vuerqu/0Z7IHomUEwxfQAeENK4
UIgR8pu1yF14/CWJ7jfJra96Vnn+P/8oq3yYJshP35jrrze2/EM9D4W1/yCg8DOFCQPP9Jvfiu8m
GxKAxDlhWN5vmb8s1f3W8b7uWejDm3+Uhd64rrr+/PeZhsRnEtyUgphyx3sJdkYRo4Ko323iJeaP
y3G/Mf74nmeFN/+s0H513ermyavrr+7vswRCZzHigBAJqr5dIskzGosYx0z88bDfa6O/JMT9Zrj9
Ap4prqDm+QdVR8ebptR/KOZvcFXyjFOIEDHn9+ZY4gzSKyokQ/fmWI9Kc785fv+aZ4nji/+vLXH/
JrndMbjzG/9hxwDjs1NEEJxDGnsbDuqMcEIxxxBEbrcKfi/hH37+/ar//Wt3RP0/7gc8XA/+WZUd
ITdKf+293GoXfP/TX18PWkLeV++0cO685R/qu/wK/RkE2dCfHZ3TEg/r9s/fv7m2049PlYBIgQRh
jFAOCRZXT58sUJb++JTLM6QAKDKGJoPEMQGLdb2Zyh+fEnEWCwH9IB5zRSCBpk+f2N6dPuJngseU
KCmwoAhKTPxnt+tN32xF3/2ph9///0nn2je97ib741NYZ/jtt05iRhhRQQVjp/7F8OX6HTTS4JfQ
/7P5mve1VvyiREfFXtsZapk/3/8/WPf0vFvrKqxnbptVpBMrmzLZ9237WGK+/tZI+i1l+g+WB6vc
Xr4SUb0tayfS0ozGvFv4HhdXxbr3374vPmDoXrVA0L+9vmr3Wro656nCzO5vB9SqOClJxVAS07jF
CSXjlJ9//2EP2QDMf/thFmxfLUXH09USSRIZk8Ik/cblL99fH+LgvS8T311fqDEeKrXx1KGBvkRo
oe37Ja5i/mKTU7dmkdi5SdptHN59/4EPvJCEnX77hQYZD7M4PXBulFif9aXL3YFaV2roEX1vd50W
umfXnjKB2w+Qel/iyRGWLrUVyzO+kRwfhtri8gWrywq/RK529WG0Y7eJJG4oGs/jrpzNxfefj06q
u0+Ak6pvbe9BtLZmdmOpK4p5PEgsM0HQt6Em41InY7HMbeI2Eb3olwLVqcN9L7skKiRuIZh9TwUP
6fi0c29J0BRbOzdsARVIzA7E9N8EW/Qj7/fQ4p5X6AGpi9wmlm6bFT/H/dYn+eyq12Gin556W3RZ
aW6JYWlNtL6JodP/oot07Q5hy3u+oY8WNowlY2kzifkntIw0WfNdhHke6XkG0yzVMOCRpVMf7Xsa
r9FsjnzoexEovucN8FoguTUVeIOeuuqwcb7SZBwBSscw/XjuAFdb1PV2iLKu3wR/Y6EbNP3UTlP0
iO98YPMID/1Wxi5eViazvUdtuhU0Msmqa2seUdBpE96DPeGBX/U1bRze8qyP5N6eLwYNc9osG9LH
UZdUBT7GgzihfS6XIRLZNDk8XXS87+J071CzpoOeljUMasLD8djPY07WVmYDrver2mzl605wdfV9
Wz+kKw/IS71KtEDakeFo1WljjSAvCrr148eayXp9RFUPWfz081uALmUx1FIMMjMN3S6jdo9fqwKZ
BorZAFcnyN3l+1xvMSiHZ06MeE3iaqWf+N4PadjyHqLdLHohoc7J5gYsMDVFm1IXiSFQeg/PTpNu
a7ZKZtTONdhgk2uU2HjTe+ADPDzXKmKjWkH7CrVjdzkg1i2pqcS+vAlS0ClxvW1egTdiUbTyTNlS
/ySktW9WXYzbI/Kfdvo9eOYenls1L6xyhcjaxo75O9G2o/uJjLuKn01RqcRbyHUJvwx7Fw/VYjNQ
00ILIRsInfTFtJNVJWXdLnEYnk9V2W1lrXob+YSNyGpbDPTStniWSeWoeSw2n9Ryn7o8SG9FVcTt
AvtpzLfBHKuCCPGmjfaZPyumvK3TtcBb93PTSvKL64qle0RzD+U83EN5sxa56PcF/G4jm+FZGdlc
QGZfK0jr5LRUdEq6qdrngy750J7X616II6cL6d/P8cRdoII9b7DlPBKyjvKsFZE7Er2ITIqGPLIZ
0QmW96kX37Ufm6dVj3hUGYl306c7yucpZfm+NxeDImJ7Xdi2/zZEdGkv6C479molBHcvsZCy+lnW
mLFHRHnAq3LPcciuYkO/aJoNIrfkwHd1M6zrMoY5be65jcYQjra1EpmJhiUrJkSbpCCy+BoENOY5
DYcMl1VV0KwYVvmJQSh9ZeOoDfPZzPMZIym6KoqEylgDlczBIdnuidNms4/ssgdQduop3oax1ePG
8GpkNm1Lji8lNSb+vA4IEFfiMu6TTruhTfDOh+LL0O4Wh5mFef6DLF0Dm8jwjMu8dckwYtsmm6NR
YLhgnv/Y6V6PjhuRupGhlG9zcdx5Hx3DzO45CZ6ruKvGdc+sK6Zs70SVcDNUj/igByDBPOxDV7iM
VggNWYV1e8ATqo751uPATeVBH6qeXiLd7xmGujGJS/SxK+hjWetDontoRnzo6NoUe1aIbXrpti6G
XGAsURW4bzw4l5WbBmK2PYvyVl3iea2POZE0CzIr9dBMhpkNUw2rTzmmh4UIm9gW6TDZqYdm2eFd
zgLMGk24PNTEzQmvBQ3zo9SDchVHJl5yu2cj0s25VV1xmBndz7+vmRNs7okX1MNrl7Ny31G0ZEvE
bqDsrOdzOtVDl02L4IFv4EGWzGLuqjpfMgLAfaemvkoR7euwcpx6kJ06SIWWnS9ZTxm/lIq5Y7V1
ge6GepBFU9vkcq9cVtiGPtdNK14OaxMouodYCNR5XSMyZWNf5ehgGLYHUa51efy+cR8ALfVAy/LC
1tEObZ6h0+uzeiqmFy7Pm0BQeZCF/mg0I1dN58YVi31Pllg2r5mRvAzbN8RDbY30PBYzXiEldPuh
HtinTW3dIxv/Ad0QD7SsimoqZT6nY1OihFiHk1EpFyi6B1oyVBTnlZxB89EngyG/69Sah5mVeJit
h91EkeW/i07xiBM281DRfbQymTtZojlVCzSN8Wl1G66Ykzlu1dp1PA95Y2H1tVLlwcnaJZzjKlDt
HlpLymQPR6ywOsU3o6bNeaGLwM4W8dBaA99X6gIWV7trs0YoA5UXX8Nyg9Mhym3FrBMRebPVc8qm
fElWNOMEDfkUFqKIh9W2HHDXk9il3bx3yVLqG1ftKEzr2MOp3c009OXi0rYuacIp+xTNFgcu7uE0
zpkhWxlNqRjj7mhXfW3dbgMX92A6WrVWkAm7tOKqTHilm8QZLAJX93AqSBUVOlIgunLopYXjkTe5
KJqwIyrs4XR1FHcUVs52BGzzZO8kZ8doiqQN2zPYgyoeV9W6oZizjbadSSIysGxY8PQlKDhhD6tI
59j0awuRNbfNM1VZdLR1taVhq+O7cHImH0ixMZdNivyCKvzWUvI2bGkfqXar2m2LpkyX0Stwj582
LAJ7hdjDqdK6FagTU1YtpTy6kl31dd6HGRR5OO1qGxklncsiPelDU4kXAo9x2GY/XQC47b/gWHgZ
7CqjtGvWr3pDHzFrnwcpHHkolXopIojXWwbL2inZsS15sllShLle5OF0Lpgra2qmDLgg8c90Aj+Q
WL2jsEwDeUB1Y4PjJu9d1vZmP/ar+FzqIQ9UuwfSXOpRzNq4jG1mO7TtAKLXj528nha5pzg4kQdu
21R1nOohaqcMTvvVS2kL9LKJ8uFjmFk9iOIJTwbuqsB2LPMyIe3ys5A60KQeRnfaqyova5cZNpME
yfVTM8o3YXJ7GKULXRdNYO2oslfUbS8ZtS+Dlo49hPZLnhcTKaY0zqPoEFX5C73Hgf2B2EMoQsMg
9ghHKY/V63YTn6TZmjDXEnsQjUrI000POmnK7m1f9Od5W4Z58thDJx2WjazQwE/7fb4wC35OWVgE
jT1gDhubeD9Abcfb4oXs16wzedgxa+zBUjfTWjoHQg/th312h0r8FLZDPEg2qjLDXoMRaVl/Nqt6
K3ce5qdiD49unOt1W/iUbbZCV/s24axyxB7DBPcQSbp87SqtpsxGQCXAXX2hcvVz2NoeIutGWwac
8ShlGrLbKObXVJGwwAYXpe46QdjY49jEEJJLzdeEWRodlRJzEHCo8kAp7SwmyuYoHfl70x8ldLFD
dEKVh8iyKEc6ltuUOQlkjoXYIUEjvwpb3MPkAudd29blNkXlcLE0cLY/kmoK2ilwZ/Cuwo1zcR01
sLhs2Bvihi+abiZQKx4uFWVbPEplU9OSNwzWXt0curYHTbRoQciKoG2MSfzCyaJ6NtKVB2rFQ2dp
6dxAPgsbhe082ePqQ8PLoASLKg+bq3J0qRUgfyXbVB1imvP+iCED0kGuhSoPoMPS0hzOaqasoMN1
tMwf4fDhQ9BW9MlaMyGx4QT04lzBjqOrdUIkFkF5BDSEvL1YzgL60SsIvq5vXB8/W+cxEKHSQ2jV
ipiKkthM1uRlA4TDVAqBwzQuPYS6wgDn0s1TFg/NWxo1h8qUQUkKlT4+WdRtBWlthjHDh6VF5oBo
9S3MnB5ANzhRsLKdLLAZ+KfCrs+0YO/DlvbwuZopryWOTLahZkmaXoznXVuF0TCoT6zq2dKpGbhC
GRwh7cdu718JYh/jGJze/t8TcSo9gLoB27pEi8l64No0iXUmeh7N8fYuTDMePJeIgFekDiw6b18t
ZHCrlZ+DlvbZVBMEnnLgvc1qXrxbh+EybtuwfegTqeZc1rxqqMn2eSzTeSnwMWq6L2Fye+DUO82t
WWubqXI41HR71crH0s4TTu4xpk+ZWiLoB8+DMFnZzswlRvDq5ciHNVkq7LZDmPweSFndrV3dM5M1
mvzSlPRjNNRXYUt7EF2B8dhwkRvA/2wvZmtQgmYadlQHN5PuetwCl0wbgkFwij62c9QlNBp+CpPc
j6HrONQmLm3GsKZLuhO30aSTTVkfwx7g4ZSWRSGdbGBLrtFb3eIrPYbV4lR4GG00G6FghqXzTb2d
Yv06JzzoGIr6BKlGbnk7zpvJSN7iLJJ4eouKRQcxfanPj8JijtmsYSfm8b4lmxkzQgPZaZR7MG3X
PJpWW5qsm4c4iWdxPi5FWHcYbj3c3YqToc5RBSoH9/h83vDzhq1hGOIePNVSNK4aC5OJvOgSsW/P
ldFh52bUZzop2CXximuToX5+Q9D4wsRToNweOo2G0wm+RGNmufyokXnb1GNQEUe5B858pW1dDJXJ
OGgmUUBCT8atlWH+0GcjTaQao6pXI5zblOPB4Pqti9SHINT7VKQ4hjqrY/GYFZq0VbJAoyJ1ccTD
FONTkapKASut2gA3amsP0nH+rtHxHmZRn4o0V4znwLUbs10ZfECWvoJIGnZ6Tn0akos62bO1h+3S
KxrX4Gu32paJVHMd1MOBE/67GAUucKyKtQPdF+UiDh00z7I8p2PYOQL16UZb7Zw0bT5kMrL1eJiX
of3mlFgCi0ZG78qPWhzTRUVDZsrNHtuCVwloiJ0H7UyfcCTEusp4jofMNRwfYg4kdgLVbxK2uofY
qQEGniXdkFkqiilBO66v623tisD1vWi6asPNsoJu+rLqEz21H9YGhcU85odT3C9tJBzovZPDxWZj
e740fXkRpBmfbzSTmWxDswxZlbP9Y9znxQVcNh3qMMX4hCMCfpLhDcyquny058JJQhOW93wMfIAX
VuEwru67YQbNE7tcGiM/lGMT1punPuVI1C0GjrEZMkGn97qwb5d6eh+mdy+sFvm2kKYpxkx06peu
X1BSwlyPQKV4UB2hZS4j1w4ZMZX8RcChwoWr2zlwy3iRdYqjddsJ6zNAqko4UF+SaItEGqYYfNfN
mC2CM/oGVmfz5hKGhmd19xiL6dcU9J6CxqcZjXoFep3EfTbzusgTOC2uwNkIvdaHolVFfdEO2/Le
tba5JJZEPJvKcmRXcMVNjG+g/2fNeyVaflHDuWR/UdUd5YloNDTji3WU8ZLstBrNh2XEkTvE29jV
131ZRuOBQ2KJj4hBrz0Vg1vdsUHQJTtwOKVeL90YySrDYi3pZd5Xy3ZAMXQTfo6A2budI1JZcSRi
hTWXRk/7eTGq0sJtO7y78xbjdT/auSXdL6ugNH8zUR5Vny1i45jJHas5Myu873GYdpZW8czkoRMY
1Qe+icJdFKgv1AsuO7gXFo87fg/DGZZkxtxcDtqaPYt7JbfzpW1mepwNLVg6i4VCC7spZ3oomqHt
IZ9VajtIo4lI2l4b9Hzp8kpdNgRNNNtB28uBkXq+3PeofWW6OaZHGs/znlS5yff3Dap6EZaFUM9h
tit1vHakzzgre+j6RAkuiAqDls/0IjTfIJFshqzk7U1O6/e50GFy+zyvGU5i1gaD3MzlmVXNs5yh
sOYg8bwkm4GZgqCDlGGl1iSPVJ2oBvWBOvEyGxMXhNdwaJcVuKqStR6/8cqEJX3E85MVXG+dOxH3
mdvc8Apug+mLnkxtmCsjnqMsuY5dh7nNClPTFxTyV2D+u+lTkCsjnqM0bTHP8zD3WS0L95OR4w7N
/E5OgWr3POXY6Qmuiag+U9BUThiuXpR7EXbTjPokrxggzKgc+mzrh7w99vFSZesY68Aqx6d5oU6j
PSKwI3nRsjXFtnN7IiJWj8cg5ftUr6kdlzwqpz6Dg6pvy0CfsciG3eiAaTV3Y9TgFjOPm+izMlbA
I5usWJsDURX+Fia7B9eZjTuZHR6yZlS7TEQ/EjhjlxiHcTFgdsXdF1iGrkHxWkCCADP3EieWKtVa
ByYIPt9rEEte7QWEcDijMQdglPHDEC1xFqYcD7NLDFelme56uFXbNM84mdmU8NHwMH4/9dletuoK
IDL14IY7J56VHYl/gZp2C2sFYw+0Ym3HvbWQr0Ira73Mae4yEU8icNN7dQgmjVP6FJ0q3RYHu4xF
4qa2DXM4PuULGbS6FerkLNo6clMC2/xmb10bxvykPumLYdJVZVUPGeNiji5r1aFDnC8Le+Ts8IF7
ddQnfsHd1jznjeyyvUHEXA21nvtDLjo8HBfbR1dw4exVFKmmOkIWV6tDoaAYPS8jxvow6/v8MLgU
zGNXQf65bGMpD1FbwQCKtuyGJqyM9gliPCY71Cwnz5RPKH/e6gLunW3jNsVh3SmfIrbHzsD1Wtxl
hCBdJ+tSLTSpajoHJljIgze3e2s6DA/YHAba8u4+Anv/S5Dr8FlizdRuk3J7lw2ms4e1IN/2iYUK
7iG7GHdkbS3aDHLb8wbXzzC2YS2AX69Q3qKit1EUFwtMEMkmOttDHVE4alj2d2FK8dLlqWxMgZa5
y3JnZOpKXCQt04Gh0ueJLQKmHXdg0UybNfrcVgv5YiIIN0Gy+0QxW9Gupx1qM8i1Xol5f96MxSOz
XE777Z5S0eeJFSucM3LTd5ldcfkMNUYmMLl5CQtiPlVsqbmWc03ajNSyL5JKyvFZKVxXhsHUJ4xR
tfaEd3GbCdZVh1HJi5qiLSwO+JQxM3RFkSvdZYqWywtrWnoQUzW//b5NT5n9fYr3sma11Nu8IIjv
zU5HSPljW6i0iVHfpxyqui4sx/I5ZHLjueSk6LPYkWlISjZVJ2jFqg+LxacRk7cpqW2k7TgrDXuT
4fduit8VKA/c9h5kYZLFJGMDskN3jR21gVb+7lAXZF6YtnhX8A42Y1QDKzBFwuTv5i0a3nclC7vN
BFO17q7e6A65GNvm5IPl26ElLJs0k0FKJz6XbIDuQpy3XQOH4dCV6Ef5NqKFDlSMlzW7beo2t+kG
GAIwwukAlw/HT3uj+jlwfa/WhYE0eT5Mpsl2Iz5D7+hlK8qP3wfV/d6MnKab3d6MdI7htBpuCMKl
1T6vktG6+WYhY9joDRjReXd5DeVbV+YntQ8yh4ajlZctZy5ouxOYv3ZH+B5Xbt0NCJ8XJbSdEB4S
GKkSFqGITylTfBcbs9B/Q8uEtmOngY9wqLqumoOaLzD14q74cl7yATLbJkMl346yiOM3Pdznexdk
WZ9VtnENHa5ljI4FKtb+WRWj+BXGA3OPSP9rp+Xf/THxiWUwnBKvnDvYOtyx9vWIUOcudD2P5hwK
MYfPYZYet8eRNWv/ItqgKngxiGpsP2FE6LnjeL8UNNpYovbcwXSFLarr123HVnxox3HTh70o8/1z
n2/anXcDxNyDY9X6hbSUPp+Hanq26XI+J7lbYAmYgVEmcavpflUiuN/ytj7NqbjqtBzsEQo2usOn
ZjmUMTA/X1VDGe1H+G2rXxKc93NQIkl8QhzwGkd8upCcFjmqXs2qVi+wxkVYgCU+Ja6PatZDd7TO
8BrfcDy+Vah4E7ZdPB8DtebWRnypM7IDz7bB9BL39rFBGidHeN9W8byMc1Fb7Hats3GAWR2Xxu7N
clQbsB6OC1QIxSVXvCmDumswr+8urNCoGKczq7NoiHhK66U534em+BCmJ8/nlFvuoEYkdTb3tDxG
+f5xqvBjejop+z49eakBigvtauPqjDdOvwdWNX0ty2K9XisUPdLZfOgRntOJcyUKPIx1aldS82M5
jWbUyWyg2X6pF7jR9khR/YDJfdYc0BMKN/OmSOEPrNT1uWMrAnZY1KS63SU+AKM7rKtEfBJdUULv
JDcNKK3DERDd+EdwRIEBTHgdtwgGjkAjoKszBMdxE1nOJ4IecdAPWMIn0QkCXM4d7uAe62IU06Vq
LDvvpYJzf17MTRzELiDi9PRbJSKDtbnWIoIxHTBIEO66Fz+rUYRdbSXCA7bd1Kj1ZqpMCDadA+da
JnmJwooV4hPpZg2tSOJQmWkq6fkwb+1RKh1UxxHhATnmA2oa0eRHNOtncU4S2vNAnXsw3kjc2H6C
pfedprkaz1uNg+pD4nPoNpi6pq2q82Ot8XPBoucjD+viEZ9DB7TC0yBcnR+HahmfVdZOWcTI+yC3
6VPocibKeSMRbHZU2HQYDE021dDzsNU9lMaqNjmLI50JbYfnwHr9OBZb2HBY4nPoCi6KaMZOZ82G
m3Onpu4iHpswKirxaXTRtsJ5Smt0pqtqPA6lfBEJY9MwvXjwXKt4dJb06ji1VK/nGC8fBlPXYU1F
GHZ917eUvZrGhnbq2M3jq7rps8r0YUHcp9Jt5boWbQGJVDM5nXSuiw97wx7xvKfXvyfM+ky6Gdj5
O9zwAxDZuU+ANXYYOEwUDtO5F2B3GNJj52nQcGup3Q5dMfRjkptOhRHSYCD1XaWrdoM7FzVTcNGq
33Eim9w879dah92DJD6bzvEu78RI1LFddjizfQssgEc082ur9h69+1w6yncEw6mKMkNbRObnsW4Z
XDAqYHDoFUxK6jPN1E4SMc4tSzl015bDONVshnGcA9/OR6fiMd0HVODrVjA8Z7kkWgR14OFPgNxV
6xqNCOZuTKdyyUzFpSaxdGlpa9sdg/aFT8PrtJ64RKU4rqbk4KC2ynWHEv4UCQmrPXwenplqt8/5
4FLXl0PaSrocB0WDOs3Ep+FBysbIQFqXotPcr4WNcFObiiB+NQzTv6v7QczU5hMsPjuY3dxYOiZ9
g8M4foR50ZiWDm7Du86luELDgdSoSqAj8TnMqh7a+1rCXxMk+ZTOuGwTGUVwgWulcVhc80l4BXBN
YxqRKe2BWZP0tSleNYJMPwXJ7nPw6DIMBPFxSiMFpx603otUbyxMMf7ML20W1MNB7JTCjEr8pmvX
+jOPdxGWBvkEvJ2Vyzi52aZdx5sDTK6GiTA0D5t6QqiXMzdqIjuRzKZarOac5RPMF4/qsDN24k/7
Igsme1NPNiVLWwLjarqC69XrIz72gdDmD/tyywgjs8Rm002gPanj2hxEHZirnP4Qz51aonY8IiNo
fW9hXMsybd9iU4bdJSQ+BS/ah3bMG+LSAm7PHNVSlgfwx2GH98Tnfu1wDSLXMyRWYsCfbUvetyUO
u14Nf5LlrlrKFlrK/UBdqmMTJ+uA8zTPgUb3fZQ+UCb67K8G1SOueyLPed6w+U3pWt2ebxw35pya
AaLg9x/zwMbxmWD5THKKKngJ+FMn0XHGrDh0qwtjghF/3tdQ5mKaOKxeFJ0+SqCBHVS/fQ0T3YNr
XYE7AD6jSYd12A66HaujbfOwwOczwdRA46llzKRz7ebztpQ4gQHGe1jk85lgWwvlxm4Wk07l3pwj
W3/YUcUCTerBdS9buvfQ60kHWYpD26zVASipYbR/ONW/u+s7sYlJyHxIozYyh2ofuoQMW9jkJrgB
fXf1nNLGoIoPqZ7G8rCztjlIGJMflov5HDCHNmg5m0KeV1W3X+3xsP5Uxd1jc+sfgJLPAsvJsiAH
ZOWUGQT3UU4Jx4DRYz3Ch1b3al34CzfQrt6UOqcRtM7n6EvfdFdBQPLZXzXCKIe/nyHOYc5X3iTz
DuzEqVzt/3L2ZV2S4miWf6VOPjfVAqGtT2c/AGZu5nt4RHgsL5xYPAGxCSQQ4tfPtaya6UqfXLrj
ZL54uBsGQsu33OXjj13+1TqNu5GOO5nVkZl+AABXb7y+5XE3yB9bq6/lvoyVC6J4o47KxplWyXVH
fjASew3+ghDX5EKCS/cpjr8LHmL4MUAifY38ghlEU9ZiUsf9In3U+jjN01r6HwsILl5U/3pma9LV
bg9jWkCF6zTM5pHwH1MTpK9hX4QBVET7Pi044A96iG7ToXnzQ1Pl/4N8QUaonumQFglf+vgqNR14
17Xvl/c/dv1XzebBxJPullEc0zHeIKGe2vT6QtX7Kz3By2L8nUz3NZ6riVqTSl/yY28ie3Lluvb3
VpCqOoCnKspz1e++vnN7+T9Irn9NVX/vS1+lsCIk5bDqqUPauvlhy+Ou6RJzaFusuu5Yl1vbZdPY
w64mG+iEs33TYR7EeewMr/sjEmvd9lm3t2s412WIyi+UesDuBgJIa5tRHXbvMwQ5ZrpteSzN3WpL
H/PzFqViarN576qoyQhVDa2y2QmDQGjkeHUZU9NYfTFz3S9xlrai6c90byH3XAQk9KIqwrT6OW8D
1dtbSMj5tclYC4sfyHyHZrNDFqsl4mmmAqTh21NsWg7p+x41S9dn4BV0C27QinF4b5IeiYwWWv7S
mx7/PC9TuhYccF+aLRihNl9XnzRXe1g2PiNGpnb4MqJoK5Zsm2MS+4xJXtWfhiZt1be+WmD0AyLn
Ps59BrUvHT5eQHons/dhywaIRtnc+8bGbSFAnCwPO1o2ySFKys3mpcRMU/nKfWB9kaw7IzexXLk6
NmzZe/DCpjGc4BIw5IKbld9psjSyIA31NK8FnxCFyV4WsocAbrZNFZ8G4Df1WFeFU8j3RY4KyVaN
uLNpmEUmEy7AG1mbqzIVCBuxl/B+ucbbGusmmyUiu0zFUdcXSz8knyfX88KHfRPflmYP9GjmkbX3
+5xI/lxPiRD31JWU3u5lLZeq6HZwVNKj8ksMRYSdi6W7A0ND4n2ZpjG4uYrsqlqOBKrGiMZ6Mu7t
KXC6+a+T7JuxyscVxeCzAANJvYs3sdmQd0MKJ7FKRhcZyG7pBh+BxbIDtAUFHbGsyyHgXY7jOWEo
pCVn3g6yzlreqiNv6yEf+eb7GdWUENn1Elmu9oYstj34GXvUPR+rRb/btqQaJKbDmCxHTZnd8rGq
0wQqsXXoCuQ1tfwkHR3GG7XtSPxqRpZtzrxxKOZnSjKRIIJyjlKaK5j36jdxK2d+hMBKu90MiY9R
1SYO2mo72sxurcDdIsFyByQnh8ga6ZavSReBMzOvIjVvBetjWdSlZforch/ZYdH06bgWVrPR3rcL
qfg7wLOm/qiDAE1IjWRk1zuLkvY2rn27f2+GblzAmJmjMb2fsGjrw2DqkJxNH+vpQx31kiTY3tqK
s0z0qTL3xLk2/prqspQhKyvVV1feryu7JnOTjh+154Hl0LwnYKNXnsYK0s6Md99K56u2ytqplV8Z
5ZP5AHb5XufoLuHsAs9jDHdA9VmJD49R+m3U87qf+8SE8K7dSRznpsZK+qZTTPNT1Sb7vVOkOpJk
kvpBzovgByIbUz9Nbb3tjx4EjyRCJxq6AbK4KBHzs/VuGH5p0bmpbzSfaLgaR92VV1Oi4vlmmeAG
n+sUnoyfJE9S9T32bXkPCnl0jTbS/g3Ulj7TnlVFBYGgqNiaXfpreEis+wniQfRjp5pUFaYD0/GN
CHU33MdV2cRnPzZLOERTrbeTCjPhV4JvLflAeNmWT/WkKpOb4CJoImqiLEg0PYeR37pbNt9Zsjty
poab7j2MO8rxYYE7en0kdTuKwm16xd7pmZzrI/DT8Xw3qZV/66AJMOQlSob+od7IjK2kHjd/4Gx0
c1UQdKvWm1ZD4PhYVosBvSYSa/Wullal594YwzNXRjP/WtdKm7wabOt0Joe4JDA6Sul2tl1vXeF8
QqLC2SGJs6HbvflEncIdFIxUMeQMN9xFE1V2zvQW2eEwXCR5Mgja7e395EFMOzAz+88JCZ7DXq2C
VWQOKwh+h3CpeimxhEWuuzrpc957Nn4IE/wZIXDU95A8y2i7783ZO7Bk3wX4081lVk9ObNjvd+PH
MdMOx7TPUPFe7Te/rJQ9w4JjxoHQQq1GPXW4yuVFGrfMB5g4otN5GHzSswzcz4FddSpW7WFdK9qF
rIqd3G/8ZitULTbYWKkTKQNiRDDZ6vps4bIWZfvcNNFbzto5KeqUL1FhyRqrQoR9188z2ak+rW73
6mrpx6gsJp+U4ZbCLOeRxFY3b1E5SkKbNV3n1BGq8ZW7Vi0ymPuAkpg8pm2D886VJZuA807r7bav
iG7zcZ9jl6dmFhF4C7MtGw/23G7jJ0faHmSMIXXusdmISE4jWsb6foTSXTNla0hhoANd8Wzys4rP
MVXWPTA7RcOXpNlkd8s7ajHHhrrv6u+0kztmQg/JNnsYK9msRzzZpg+sb1P7nrdrXV7bqtH0DBIt
7+6WOYHB1wHbUccL+DLR8mWHVDI0zW2t2cmOTVUB2wwGFuaIhI7Sda1dMCejewrMcAIMMTlYA9fD
bHVhSN7iO+XzGtdu+9xBNB6cdJXUY5pPkF+s8gj7U5lvpdne6oQ7epLKgOvChgFg1X6dZZQHszhY
ys2j30AgWUWco6Eg60fcLmMPmw9Vc4qGJEXnqCnbaHnX9/s4XAO6W++IioZ9+4ZTww4tNFIJid9c
OjWU5LSexH63E5X2FjvxHsqz1Hj1EJrlcDe79diQpwe4X9j5TFyt3GlzXLHLyb3V0ASoMIzWZk5h
lRPo1VX7UuVT40N4Q9XWqQyuaZIfRdpjf8ta6vX8QFwspy/7bE2qs86tGzuHlJLtPsXsrz9qu8GC
Bg9Jx/KhRTnMP8kWg3i9J3reioEuzJ1w/kemwuAm/XrwuxC+QvDkxh0vc67W4+rbqH8v4uD6xxVj
tl5PGrDQB702dZOnuh7tx82IhH3qExFkn0EhjAwGI0W76vsAzVTyCNX6VH0ZobzSfp66qU2QX0EQ
kea9TrQ49cLZgPitJpKP2RQtAUdht+H4QLQHyVgesVUUFiINYwBGT0RfoSof0pzgUNfnfZnad2LB
/D60xHc8b7YdNddeDOkHlgAXkdMgS50jF00FHBFHsVwlnWB8zehG+une1FMNynEM+c6jUbob72hv
fNRlHAysL3qc3HZkcZOuD/FAZujvos+q3qVy8PVx7eCU8zglNf0oLVxeCpuWKAXIJnL8PgymFEcy
a588oP9Eh6euFXa/ifUwjdgwU6wNwOIBVJNXLURU57uy75TZcpmm1WMA8iXKN97065Pd/QRCNHiv
ic8hY1i2uVBxYx5aixpTVvdVNx1oAK+2O4KiFh9kSYehmEmZ4E00dRffpYu5OLlyewl+JKCVdZUr
ubKk6JeJxEvW7lv4oGUH1aRs78FafGdAbqPPleXj7TwsiLjyutJRHmuowoUcu/uaCc+p+5AskD04
VdwbnPdiIwjTKQi8xmWBppE7N7gF8mYZByfyhPGpaEO9DFfthqX+iZHZr8dEtF0MZ5IZkmdx2lBZ
0A7w4MzSeD8qHEbeZTMrtb1fAJ1SQ97zXnS3rS3DgwwXA9R93umNlbIlBwkHmw3HKEKOYt5TbPu+
W6Pq3PKBuXdLV8br0zAvcY4eyZR8Dl3p17z0dXpCuAbXzBYsmhGV9mzedH2qnYGwRgpeNQ5bmu+7
UyYbYYbECzeT5FQhHvjge0FvKkgp9RlXerJ5HSe8gmarSbJxTDW/lr4K31Owf/RdgqXTX+3a7upu
ipL5kXhIvCIFou624jLZETvF6fy4RgawXbeJnINGfod+DsjaMC+lUCMHDfkuzDJ5P/qoOrSJ5m3W
95u7WdtOPVQeCvpFi2mcs23xeVKXzSlNU3W78CpcV/HWfQ7Vqt8q2s15Q/ibjs39e6bVoLKKGAvY
ydK17ZRtpFHeZhWi3XAMsKoLJ74m1TOPN3PtdJCqwHTmeb8v+3YcZs2uA+CL6XsfSfG26jxQC0Xi
BhGdyl6svstKzFwJmnyoyffGlcG9Z4zzkK1Nv0lAOePVh6K56AGcu7DtkE2RcxwMnHWnySbIYxo6
6qLiaxxdr3EKNjZopZ5cz3VcqnsbbdYdV/D8yfPOu4TnKqSru1lSw6rPiFz76cBcEiUn05gmvdXb
2sHstRrWLvOxmeUzXTpDHia6UHOATEMYIElgeX0eo1V1n6IaXsI6Z6FhTUGsrl22sAahqHKLaPK5
Q4zis5JGlHZZYGFpvm2S0el23cZ1/wpTKo9wqHaSYXZ3WFvMZBqEIX2Aik6ZXM2ya/SbLUbufxiH
lPZHJ7DvFMhoKnGeLvC7wyT6hD6AVKPZDfCzNC5itTF1jkGb2n5pAMbuHxbrpCF5UNVaX9vJUsIz
CIpItEd3nXThDVJjkSALBmRzv7G2s9gX6kH4+M70WJJvWySr/lPLWnVOR7TIqO29+BRb2kafezRY
kSZvI4PjIorQdY7ZgWApK5cVu7udl61Y+2qWHzg4/e5ZeuztH62dVKILJqYI51U5sGh9y/2utyqL
kkTQzLly7nNV0i65t7vcwi8p6P7d97kBm+0gNWwLn0JXbwqCA2ycH+HxzNrtMKxQd71STZSMjxyr
DDsiofMksT3Vm0CxsB5Aaz5pSmp/om3dkr5I9xkhQNbBl72CDPyI/AMRn57ysJpLLAIbF+ffaDfP
lb9SbdXOz52NxvU46sips7VqYXhju/JzMSXdtn5uFQMXidetsp+db6f1aCrSR7lql/immaqS5xMa
4e42aJ1WeCWiARnQosqez2adEJROHHIyz8sOlVwQpKfydqyS6cqXm3yaaBIcogO27+YhdF2XzfAG
zUAKqxYKfzGpx2PwkoW8gp3qct6pRYJWq0Vk1vkxMplbnLdvROxF/csKaxN52FtC6oL7y7maVRYe
E6cSYfZtA2kuzDoa9/S61PBnvTFVGD8oiUEoqHNp3GWkAeTh2Xa7jhClBhJdbTvm9RXigFhcOxwB
+ov3tLlCChCrTyMkzkWdM1WR5smsrK4hCR33vFkyTDJGc4ldNSCbi0Cc20UdN/dSe7LnMxb8+zZm
/aErGz5gqZXL9UhQwbhDvYKyRzlsvL3266y+ohLzEaGHSzgsVTgg4CM8YpKnIanKz9Cz0E1R9dgU
Gz23d84RRGY7BEb8uROyzs0eYDgCWgc5NWKm3d3kqO3u5nKxN4sxo/4Cg2j3Ek2ttcW2RHiN6Sae
2yW9NHdaibN9S/0zRyzhimqfEKsD1+S2rPOiP4KsrHimja8QG6BVucLsTm6o12IntKjvOH3vwTKB
A6O8VHpA/J6fWwRjWcKAQD+jlK7sLZ3kFD1SARAfQEFiqNbzyqvKdXgpSyAWjO5SN4eNUKnFQUve
vKkmeMMfYrBXpl+2NWnXPKpRufoMrQa44c5M2vQw1ElIMDWb5O3cIB+5CoO2WaKxgZpsXWa42FXJ
Un+TrLfJM/VLveahtzGyHZF265bpVXbRp6aJy6/yEpqc5AaW+fvAzYtrO5ci3FVTjGC2T9vlpOAJ
InPF5/5lZFiymYRlRw5bEJIeOpXKX4t/Ld0xCEEeoG9ZpkhlYKp+3BLhxUdTRQr840aVqAxGqocy
kjWQKCgQlPT+mvFx/NZ1G42xz6W1Hp6h1KZ0nsy1pyft0vAdqXO138xdUr70dbcrBv/vsCa3fe3T
6X1UEs5eYlhmsO9ILWtURnTFbtU4t9g7SB3ypIon/zirUhjwOtBbSitekccm4hzVbIQe5IZ5CIoe
1TrzpNjcTuhh5atds65ftrfQRI7TD2ZW65soSu0HWYr4PbAfbr8aS5CATtGIxHjr+m098FRC0HfX
q/mAMW9vhrgFrI1rGHBD4yQdz2Ot1JQzM/Q+M1HZfgRTd8smBvKWMannN/NmokfB/XbH1V7L41hC
euHQsbBdTbCVuIpNR84pPJmx5w3UPteqYuHBVCPYw+sKvZ+MTUvp3voFEq+fISCC5MwGn9YfURqm
IuNrwDgkXmtsC4rGdETEIcA/lsS9rzeOIJGilFBViDI0iyAPK/aomAGDZwcmK9RNPOzV4VMi5r25
Sgwxz5Bf1+1TIkeQwDc4MDw1uJGMNmtslhzbdnA+m1Ebow+mrUWaU4PbeT+OpR+Peip1nSepMP7r
Bet6Hoeu7282IfYO39FG9qmNU9890Ep4BGyhoUcpTTSeAKEU/g1K0cMB28QwHGfGtC2Seu1iwOVg
DHsYPcEmAn2Ma7wLlCNKw0aDdNsDtLyG4J5sVOs1H9gSd9dRtPb7FeTH9u8Rg21S1sEa8qbaxw3L
p5QYjtaTQ6vSJZ8m56/pGCPgrJvhJpiaPQG9PIEhAH1H1Dkg1EBTUX6MdsDJjxIMmfAedaZtxUFk
SfzdyblKBDxw2h3lAdstZjgP6FA0n+t9sn2ONwXCu2xrRObYMbu1z+upNNAvh3iRuoNEmhS58tws
521MJ3kl4AEOa9Ry5bLJIgbZw6NX9LIII71WFdwVJ2RM2HzaQu9W+bMDKUNlybi5DssY/a6XBWdn
eTazI1WxQlGbAInZJ2n8PKaI0IrVq7nORbpycH0cD+1zwyFTUxDozTcfOxQ00qwflrp+T7Ydu0cV
RTy+5iLuWd6rpEuKEdWwNR+HFaWtDCSorSo0yIXkITXTLN/AEKRZswAVaHNYQsnGLCR7ighGmdh9
i2a4KmQMVA/1Bl42q7iqg/HiG8dD+Q8WASq/ZTbuRJ52ok0eu8oTiCYbJAV1Y/v+KYDA3x4TbUkf
Mgay/YoCZj3sFRJ1h5IDJvWGoBAe7eUEY21ly7t6JM1+jlOyDXfKoE6bcUM99NJNPb8QRpv6PtnL
AbikkrTDaZFrlDyCNyk41tRMd4/+zxDMEf6Nfj4C6Wb6HF0VtnwdfG8jGCTuTp6jDuWUj6TrL2+I
I/Ep4lkZDTIqErD+fkH9sM3Br3B2yaDFEic3hCcMySVz0XBqgLNYv/okKFuUnJfuymO/9sXMjGkP
HaVyKhI40rg2m+Y+1Edkg526KVPIrwF82V3sweCWNha6btR2XToiZA6eSKVYASUGggXVlD362WiF
jtU1Xze6I2ZxJj2hSDCiWz8htstQh43bDITRXRcTpkF3TLclnl5Ew9ouQu4Qp47C7xYiJr+Ytu/A
52rRIXM4THvEiWkedbO64olJwnZuY0nlMzSje3frkdpvBg/epDpFDLLR8YGJpts+RHgaFWV17Oi4
HC9q1khIV7mv6f1yyaBvymhsNwRfwMtCYCqUVfUQ+tgiWZkXyrHA0xY1K5Gj18KQrRLbq+FbE5Bd
A9sXRE9eZrdGE4IBwZAwjQ7cxhVuNeN8bdW4yAeGzaNCqCj1/r2t0Y34rLUf22NapUPkMbqGDvBi
5nPzJkW4j7WcKJGyo0FoNL3UJmVeZi5WUGv2Il3kuxj1uQb2L6j/u69qTpf22UTLGD2OFRo+b9ZL
ogrFgiC7JBfrBF1j0ObM3J3rHn0vTJLU0OMskPjwA3wUl+kGDMCK+XxHD2lEptvMohEFYdzJG2/Q
SbpFdC35LcKi1L4dOt3O16KifjxHC4zZP1NCSpLzS8x2XMY+WrJOJD66HQnUqd5Ei10a7HGQoc8V
IuPhEJZezveNdSC69IyI9d3eAdKYS2LR5GloN0BiZq4i901ya8p31Fts/gP8DfS6X0c77LsRskLX
sDt7U9GAeAoW13ksNrecwjgoeppRZfdXXct38oyqImPXTYtOYG5IDwDAAXxiMssCc3NHbetSUYuO
05wkS055r6MMa+6OGxtS9BoZ5DGOJAa0ejo2UYx+Dx/Q4glZB4s1mYVpM6yYa8HSk9sWtZ9MukVk
gKRb4heFml4Fr7RxUbG+ZfFs7TOzUFV/EVW69LcIbBtx7Fi9qLfeozVTdJXUFdiJAKQ9NsPQ8Zuy
6ob2rZcYmJuQyNZekwWWOncr7jWBo3nY2aNeRF9db3pW7Xskek255mRBtDwVepQ9ytYpNNoaki9Y
zCbKof3BgynQBxRSHVvAAS8SxuITFAyJjXOlIIDZH3q0guxyRgA2Y2Cd0GZ+xDk9oPAMMA5aaYjd
VHhLMewgVylWt/t7dE/K7bhiJR/VvotbJNE8ukmiUiGw4wTqdcmljSeTK6I5N1etFhO73bsRzOs4
CaP75JtFQbSiXSAdcnSV2UKdxZ4zgR5nAtAVmaxcc47Chv3cr5Csfxwhu2CT40XqNUZNY2Mwd5fz
rladq977tgj9fHGUc5bfs7lMh3MKJq8/TYNZaFGtwQy3iYVODUqkBP3WMcxiOTYo4sdZZOM4OqJH
6Zqik5VC2mkmaxAh0b6hXzYBF/mbcq/09gRJhtSh9l6X8/6dDoxWX007ku5MKKiOZ4Kq73QH1YDZ
vesgSY3YZmDpdhunkQ2/hIlpcxtCFVkU+LZE5rtCOJKhvrygt9JYC7Df5NK7hfTW5y7AOPQ84xZ0
sexJ0ubAxnP0zNP0Aq9d5VEB2XzfrXAGfk98W9m72e3xcC1ge7df3rYowXVQLsAZ3opUf0WZL6KF
ZjIyFmKtyGdyO2C29wdE1i0OSGyklzTfz8Y/qGheaR6iKJ6xWOQ0gy5h2GUElUG5CpHEzNSDFWsX
QW6gEc335XI+fhcL5BPAJWfVeRpViDOC/a57S+c5cVh7FesnlxlpwapGiQlGUaImDSlowiLAa2g1
lfdJLZw/YhuFFuLaDc364vRmtttxFz37MG8LT5G8THq5DkHs2wcperM+XDQc6cn2S5n1ELuZMkSj
1aVYbrYVZy4amI8yBCWubQ2mwT0aJT0I74iNd5S2phZVKwbjypS5LyCuTjIDsSjxh42bFlW7eaqf
AJOIERGtMGV+0kA24lyExwa0G9UqS/UsDFFAmg8E/az1aijnaXRZA75fmo0SOAKao/c9Ly8oJFUo
3qJgQ9wXVCv2Jsq4Q/iqM4Zd1qGG2I1ge2QQqUfeedxAD4U50LClvP4EhnVY5mzxMLGZrvrVsUbn
foJ+OOJQwjcWFzOtAeUo/s3ODvK8EZNX6FRRlxMggmwWSTeVOYSS6XuKT0c3q68rc1b1pfZbIf3e
zGXPTMuHMbHzAdWCfQHIOiqj87+Vy0a2YNPuBKHubSsI1+OS7aFmD2hYDUvBS5C/fwzB9FpZiId0
6MfBdgeiPur0HV9/DFz/WlCIdXRFuwbXpc2TRNGiYT9IoXktJzRCrVGVjRBHHJMERSS1kjuL3dr+
BYf3DwSr0DL4LagLpbDEAZGGzkSE9TfVY+Nueh+N0EC0s0HBKVk1bAGEmpLHzaJ0iwRLRyQfow3v
6c8hVBdU0e+hjV4Byyq0aLYmmsVxhJtpVzQgtdwBPDjliNfQfkQvTp7//Jv+CEz1Cgs6TxZTDZji
IwQBJvHWhbFcClMhzi08Tiaok0L+oUNUuoXhL0b4D0CWr9WJNPBhOE0SduQSnhwOsjOHCbXmv3ig
P7r6K/SZgaOfFbViQI70X9s5fvbSlH8BF/+ja7+ChyJMn3pTlewYYPuR1XM4N0tHf/DirxBmLo7d
MC6cHVGDPqCR2mRljMrjn7/mP7rzV/DQclsbx1TDjxWJLM70tcziGqf/j1398q3/woNOWkOBDsK4
JHsPbV6n4DK5j2///OJ/MEMJ/e3F+Rz33mwa06UWKvluUVPyOeEhga+QTHqTmQVo7BNITsz8kD0f
fS1TVMvKC2i2sCPsUNmHdJrtvY5RXv3zB/p1c/2d1f1apEjoQFEWqtJjL1WNCrQagkdzBf+9hNjx
5xSRN/5lSOOBXzVGv9N78y7GTGOn0jZLjVylqg9wZ/y+rRTWzZkTCMn+cXf//m37j+plfPzHfdj/
+k/8/G00SPar2r368b/ejT3+/8/LZ/7f3/z2E/919TLef+lf7Os/+s1ncN1/fm/xxX35zQ8HxOUu
vFle5vD0YpfO/Xp93OHlL/+nv/zby69XeRfMy88/ffneN0OBpGduvrmf/vmr8/eff6I8vryCf//X
b/jnry+P8PNPH16s+1v2MlRfut/53MsX637+SZG/E1QVSQq+dgxm/IUy4vG5n3+S7O8yUZTjOItB
YMQZ/NPfBjif1j//lIi/w9NNEEUEU4D1XYgOdlx+/VX8d5aSOJECmT5QbuD9/N/7+807+u939rdh
6R/HZnD2559+e14IIAQklHq4As0vBp/8NRMcki/V1EkuYRewtMeJaJWtFW8K1rRIfYfwF3vsr4ft
f8/gX78PmHiUCwVGROFBfrs2dbKVkN5R4ipubQUl4la/ACGG1DkezGGDpFjRl7udsgV/BQ/qsEqV
6Zotz/tcdrlfE/q+hVHTWvzLa/vnsPzrMMSX8/H1fSWSyJSwJFHADv72vpS1qF8AcozDuvvsBtxH
jH4rjFTYKXHptVL7eDV2dD6WKG0UNTxa5+V/Jwrxj7GhMUsIScAzhdfZb++hvRT7N73IK9Ns01WJ
Vvy1jJvx3Z8/6u+88TRNJJMCuluKqlenBroAq653La/oyE6s9R9kKpqTbzoDxJL1fzGwmKevx5VB
nZbijbMkxUT67TNdwEpkA9IBzgKCHze5dZmG+9hffMvlMHr19hRWBAphnGAOJ69mVVK26CCwUlyx
Gtv71F72wm55Wvvm2/968FSc8lgoPI/kr51ZWLRjRC/TtwRUKesj/YtvdhR26PBIdfsXh8nvvCkV
c0qZAukR+P1XTwVk7zgKm4qrEQy6vAOYK6vRcyqA5+vyTfO/iK5+ZcK8HsUEpTuaYkfAPvXqXTUo
tOyzqMQV2skAaq+juvWiJE8dFLHOYw9TKwNgwrEGSPG0j2iQxqQv/w91Z7JlqZF16VepFyAXGP0U
uK234V14xITlTTitAWb0PH19V8qBFJn1q2pYA+WSllLhfrmAnXP2t/d5B2fD7tksikYsYLVRI6eE
LBsaeNMlfs2zgzpxkVnvBwHBkgR5E6rTWDZFbEtJyjbrZ/Mpamc1x0TfW8nolpBEjCi+aSn1PzgY
/ttzHgIeilCYvIv/436cqdVnUAP/kCHTndBPgtM6uSbTOvcZ3nPflWl/anT25XNO7hxRiac5c4J/
uNT/7X5lkgj0avnMoX/3+uqSLspN6/BQ16NzQpK5bUyP6bKZe/9QYP3nTwovQSG2YCLrcq1/+07z
Lu/nsET/9lOc4ssYgFy38mef/+MWaO7M/7xhQ1OQXCaw0dr+n//+L1WdkpZt+KL3Dw6w8K6ajOKo
eePfCzrgB8/gRhBqeMqqRe7KkTlKMgSmgqptujmqwGmPYQ+fs/p+OLKS0PUex2Jy39xJBcfZgz2N
8Umsj2E/ONfDMLVXVS4Ldiznq4w6ayyXfR0gPirm2qBs/ngywxVjANjoPtTNejBUrxKtldjZLmgm
/0eztiI3a930MA9CsVzCSm9GMMq7xrXw5/V57+2yaRHJxCbxu9SU5duqSnkiJWvemTUTxzV0jYik
R/9UqcF/LezNuZsFH3zrnT5G+6xxW2hgJVKNb6xyTcJqsNHeO3m67KWLe0m+f7uM3ZMjdPcqxqZ7
I3uOFNNcNQKQlKkAe0dwyjbTum/Cpj4W5lA+Gman7gJTBgBFSHNJpZdNk/Nrq1fmKumNZhaG9IgC
OEkVfHhzv7RRato/KqP83tARw44brXcFkHFnh9q+9WWeEBx/hC+Tx2ay7I43QCYeLCvABWDnXnBl
OnZ/tyFjR9mgvEOvdAXJMXTER4XgJ7UqEor4sT5PLWBsxFtqvQ5HxIsIS7gck1Gkox8zxCG8Rc3T
L0omrslsN9c5cg8hA6N1q0BxuWS2GBlToeVafTO9EHFPGot0u94jvMMMXyjb1gEINRyeg1o6p3E0
J8Ytyoi15zrXavLkrlVm2kdFdmnm1MbRH1WZJUHCa+ibpJqC4iiyUO+bgO9b9BOXbzJ69y31qjnJ
+G55CU1WsQNzcn9QM69XNBPODztnqhMFZpXfTZlCWSEglp8TjCasPS+PhTcn64W9qJJz+DL37lC/
QC41oCVm+cGokc/gpy53PEPS/pGlhBVrmvK52+WUOOigOq4tx//amK6XEfaTBrx8sNPyEIiuRCep
xvVaVFKdN49t40kBC8sjlJkRliLvIDYKnIj3gXz3bJe4Z4JV2C/taHXSofQjOwMZmFIT9XoDHEAX
ykKwfWPTMVwziU5NitVhyY6u3U55tDQWv28+a7uN8mDwilgKLw8jwyi2a4FoNk4Wkbihq6+yoZGP
djMPcVWsewjW/EmY4UJifTfse363IyMRBDw1hMfANSXf7yKhzhbuj4vLCWq6HuFx28x6mcjyu7JX
9atlPcquGAnk0blSP9nw7VkUqLY6Mf/UERtURFyJCbTY2tz5YARMIUgD4uqbQXUTjKCjOVPsU94Q
DFw6bgZ1Vcg3UlnL27Kx5mNg6/QTOsJNI/D9+dtUml1S8xWzMcQ2j2VBRtq8TvmBWQ07kcpcf0yu
HL6JsF+PIbLBQfdjsFMwDHuYCiOSItwvEwUiIivjaXT83eKTiahHZkBTd8ZPH1z1TB4HCL+ZRqHP
gjgt0+dsnZwrpa3szqhYDagZE74VZN8+i80ddnWW2W6kUz1Slev0KOC1jrkcwFPcgkchMDJ0Fmgc
r6M4lsLNr7Jueg0C3Z+D1qwICVnXaB7H8Ui2XHMz1G4A+kg+ddLirGLEqMuazQ51GTtj2SYLnWZk
u9ttb192oZb+9iiU39+wK754XwreuKZx0WNSqzgoVS33ZPfMpxK1AaDEhCeptvDZU862Q7YwkoaB
8E0Wlq8j3M6h7eUSs2qqjzPvPq3lg2lW9QnjvneaR7uK0goccZumA4S2sScief7VzHBIUYU0ufGs
GdbrEir7xqn7G7yJfRJ0ZRYvLB2AVFit63qwnSzygrzea9TmxK3bed/it4l6a6ChsLwOvFVPD2mP
uLjXjo/RaSC/B9/k1+L1EWSe+0SRtB1GlavIbXmUPcs8WJbn7ua5Bf9thm9doa/tslkj3zK6eOMN
zqq45o0MZNxPfHJbYzzIcIMpB3Cp9/skZw8s2g10rD3ONpaNMX1oiMLdsbZxvSoD5wbHUZOEgUHa
j+0t+3ke1c80BG/wV6uNvXW791yFVXpuvDnCaOW9NkB5jH+yde8rDMNoebhk4ovCSVkFMv1MXbZ8
E01hH2vPTg+6mOvY4mVzW0iIJEsZ4SOr7twfOgT7SipYKa6GJ72F17kql8i6eDMTX7WpuQMCqKBo
Wq4IY4jNv69dMj84rTb9fcp1/w4IiiKp/FCPp6xcF5ISGtnEQ799raJoSOeGq5398U2iPJ3447Zo
CJZ+XzraiS2ciUm/1g+8+xNUC4udx6xBBOxNY2GH1Q9h2uoMf5ZF1rhtCLEz7HOd5fuiqFbUeTDY
atZXekuXO792XiaBhpGFxrPN8rTY5pC/9wxQsn5LMXmwArnxI/ZPcudWF63Wd9Sj8MxHjFPq2DKk
jUJgo+PQV+X5MmE/SjWOpxEi5mJkZEmg53JTTEqIQ9bWHrZby9ilusdv0In6GsRf3I9dXSSNmTc/
2gC3snLcXWqs5VWjeVssCNVfHEjFrmzm+rihej8D+Fu4fBZ3/qXrzUWmMBuZlLrfog1fCzWju+4N
I2iPQd3KEwLVVytEe17m1HrEIab2sDz3hWYlIvqkG7ehvYwRWtr0AliXfblbpXeA5+udClbzhHae
7o0m1A+bW2d7sho+dajGW6sxsn1dhM2Z9VbsEKjKsTouk7kc0KrXeExVuRuk+U0hL8e9naMCBtOy
31LXKaLMyZpz6XInBIsw95aNkraIctu3S1FdOWsR1hERQ8UcL9Uwx1CI7YdYRH2VNqIa9s3AFQlZ
xnxIGzw0IMlB1OXeVeWMr6te2pulXW6Xuu0/XdmN1+j4HUlR9RLTG96SPt7vwrTv32wcKAdpqukk
3fVQtcZLk64IruPWZTtFstYZsLfc5R2kSzZ6rAPsl+GWZYzEjXMIHpcuOzcomM8ODgUMO4FI8GLp
T9XMGyf3ZZAmihYucsxIdxK8m6vWI+Ge5PVvF+IpxrbnRYEUBnZYs24TBhnT/ZLr70DQQ9Qa43Uu
pjqW67xrGa4mxJV1uxrWV7cLnNDUbocpHKa4FnANW+ffiA3PnGAJzDcKe1dHWZni2U3xmzQ2RmK5
gOeVRrHv/AaK0vxovOI4ztZwqsdVQ+/24mi3Pj5Oa+IUtheE88LdDjVbkVlCue9b1yfNZF3xj3ZG
cA7bpUwEsV5Hu37C1yITNVZWQguVNIq9NJTy1Q5pNtt5eZkecoLUDzY/H7+O+zEQfvPKGjZkRdaI
mfPq7bZyOw6dega9DaJ+Ws+DMb4EpSBIZdrQ6/SPcDA4o3PjIyjaF2FXN03hPWYTJ1Qhrbt68X9l
1S89B9OBqMsRbDaDlx6hrlV37lz/unCtG4OFazFG1f661gZOi9C6dgglPKSzHXy06Mb7DAMcp1TM
qsbpgHtSft/sT0Zx9T4QCv/SXMq4Vl0NHrsafIF98TSS9MhbrHnWW/DiqZK/1FvVpT9htq9zq/7h
gEJc9dLR8Vjrkk3w+TMumKMr5dMclD8aoU7d4NSx2ze3LOLidxfE3XndNO9GZrvRUOKsYyEda01c
5he4fU9NM6v97NUPJU/VqS7zd8YOJ8zLiREoF8bbigY1TYkq8/ToWYJsNmDDu7Xz+19DXYcMzdxT
lRryHBYuzth03g5yTt8r26cxp91/GpST8zZOYclgF72PfLO6vezZF5dKd69Dsz6vVW3GAjPHpZTy
1M6xVz/O62BM0IrLJLBCHYVNcyMcvaBbL9QqXRrS3M/OwWBh16Gfi4qu3qCG4QNjUGIfiUANxpTT
JFvL903f2kaz4T9i9L5z7LmIPaF/Qvvt+4E6v/GoPmUl2DOY8s5HT4lJxHvIN/sGofo7Bqxb6SHn
Ngvfe2bglC39Wp/yfOs49Jvniwk4RjWPxFJ2r6U1tYkFUREV7btvON+92hziTXNmr13Pl6aBeoQ9
3q9QfS8Lw1BcB2591HNmHZ1NtLsuzdcIFKF8K6ZxOOQOHpWRgcjZB22JVmh8EKuZ2tbXP4nRnw6O
5/FJzXKOZDnduZaCJJd2y77wevzC2WrfFe1CdefZ9R4DZLs3wmVIcKfcNPQs+5L+58yiPoqjC7iG
vUUPNBisSFSvOUrygVD38cCI5VGNWbtPO/jVKbsNKA/vkNNHrIEbs4wwha8IBfhrudA3s2xZ3W7C
bCLNYsU9u1wV1b/+bpPgs2MBqLkXhTaJzh7CGFfS8iSMhtal6agl9Wzus9ZvPxY+1NnXfp14C1+p
sMbuKHJjPHDemredys1T1lbNWapjs27lzmtaccPGxXqX9fh2KjtwXiCfvZdgcX+liyUSIZrpkNe2
+b1m1d6xsUrjsesm/Q5Alt0PCPM3IKZdXNq2ceiGfDoscsnZuBj2ty7ozo4Q8ybxc2QSU4EyRTPV
PLYnq/efzbaKjTEbbKCigtuwZ8YX48aUZjTmoJo9hBL+nPrHqigVMyZeH2TZN7tCWWuca0qhgRb5
EJauzay6pFYiH+BIBoCLZcfzzp3GfjVua0LD5O1qHt89TM/I/qjS3s2lC/Uns+W+MN2SarHqzj45
rEnTe99yBlGQdnzjG2EyRzG5FmSoLyoM0uMByb+4cRatTwSI7JpwXvYhDzq9lCRtsiymXVlo6krX
ljdkAVDgNjXmgMqak4mkgFO3TfowLsI7yHpwr/g5624sqvywkdt4TKs5OKdBmDJzaVViF1TzNGCP
cy/sn1VTWrG3DJ9LaM+vVpX9bAB/b9SSp9/rYvukHdcP4axwwmUaM1UBc7a3Kj1dGWb/LIT7nR/b
nxsdnnDdO7s+pxzunXWNdcrITSw9vmNTaUhN02A21Oje3klg2WMoDYupY+FhKmu4fQj12rMpMs32
NH3O9zHTVsIt2H2fSo7ptILqCJqRaIgcg2G8ll7zjVkFCRTGHMYa+fWtrHIb9Lkw74VS9i4n1nSN
4Dz0fSXCd1XLi4F5vGxBswkJcHB6zumGzzH0bQZMo485rtHXTUtctxcu1WlaGkaiKvV2ymjlwTAw
Z5N6g7PHt4rzmq8bjZluSYGw2pldBdvPuXfMY7Zl62veaqwMZamZcHjv/oIBK3fZzQmmme0A0Lq7
2k7bGGKkuMZ0UcZBaJcnbr9vxPh3Fmh5po7kMefX2QSzt7VtcSWmqahhPJmoXtXLWPuRM9rTt7U0
nc+pnJUA4KvWwzT7BFHYLFR4tSAiqp0z+4u702NefLXcZD54wgoRlWfD+rTJ0Pfj2jR0uguMZSDd
oNL1K1DYuDPWmU5vG7YnU2TOoYMJetZr5SSoJo8luwiOOtTVh0xVvseKvCQBMbI7s/HY4NJ37nNa
NVfVMN0G0tLnGvCSTEXODp7VesONInEl+QFEvONvoLV4jnJ0y7p94QfpZ1k37Su2R/vOauUtTshq
XzYd1FseWvvamonXKNnF9KNrO/s8uFLsYJXbNYElTI+Wm06sf123xyqd1FNR2c6NiQ1tNxuOGZmY
YaPVKJmy93VXE28SEjwx+MWYqC3dsPKvFu9EaXL+GriLJaG1corh3w0yClvlRE5uXLIpxnSvgA1h
vtQlI7riMIh8KCZwPNXXeyOduzdSM4R7+U7w3PL+uQXQRPrEyiWjlGbyMHKpg2vO77zaF0I/pG7P
26t6wIQhD+GUL7HL/DLqCG+4gVy+dzLLTZjkTDEsmhdtk3HLwN3Hej3H/ZTy4kVH2BvAZDiegFOI
KUi6gkwC6K04NGDgjKXCQjeFqrpxs1KRMdG/+Koo8ySHm6dB6Lw3TKriCF8lYpj0YTeHwGVIyuMD
LWXK8y/Lg8zJ+19Ux2815K/zyuknXHzqhlWZB0Yfn1vPWoNmYblsu80v45of1TzM7M8GTguD1Lzv
Beg2q2lMEoeNirQ03zk2Q1PHa16psx0UD95AkGg7TecUxs3AQYtzjwgSuWOqM974fSneF6D9NJGl
lHhoic45YDGdXEah3XDl+Jq9fuR2Y9fSZvDplRM5AqvovjP+6L41QT88XDZ6vQYhoRhcefpiRnd7
a9L+HbXcHHuK2DLs7H9g9r+GPNPHcLOWO3fLthTErk7fmcFS4TMv764uy+TxafLOMyOYE5CksWoM
clEy1ZV4CsJh+Koc01p2ppVuJlayBdlRuk3OO9PuwmfO0tGNciymWPDXkTa4akEeT0O4di1Ft4mk
GpCOsrW+vBncqnyuvCndAW6o6x47cZKaF8UlLYyfa9fFS10Q6ZwT7NCPc//gsn/zIDvLvGMs4vNH
92BYGSkfsev7C0N0atkwVgv2PIwivKYvoY0oPUvc6CZxOwzdaV2TXoHdCYRwRweUxp3uvsZNPzfD
Ej43JCFx7GZr6UdkYGDMsrZX2Szft559Ic5QiX0+FYnRV1iqu4F0mrUozlnLTAhB55TVhfECqFwk
YcHskrF7FRf5Vpy7dEmkzJ39wBqzWGVueQzMkGZ2cgwGL4RXnahgpwbDpvQ20nA4FaMW0rJntDNj
ftYBIQxOP49ZFBg5O05RVYzbtrfXFqpLMsdhopE/2jjkrij6iL4pvXY3FHn3CJjBDiN/8ABgO9mj
UjPw8FJWPYnhHpjXwXTPQsEnM+vUUVcZTaSmW2kTCER9NgjywtVtrsu+CnodqYyxpjn73iufa9uz
BgQoWI1u+2Jv02BfOpb6PjUzbDLWpuzPVQACxvCEBKWwiVHETBa752C9vCyr6TJCruzU/nK8ivCH
mZVRBxzJNccb85Lv7lL5r8Oa+9coUu1NDSLwgPDpnzxh28+mm2Vd4rlYcKiqHTzLQ92HP6Y1aClk
DNmcTE44k3vbLBineQztRlfybJVTSxybYTnWLwfD7fPII/ySmmX3VfnNRuMf9vKuUaZAYsCcsEUq
dKpPZbjmKV3wvZsoI4+kUadZUuVGz7nTej9X3/Hv3K6s32t/S5mY4hYY8da8EoEx0R2PmXwrSaw+
d9Lhn5s5ZAxRGzRM8SI1MURd6z6GLfa/uJWO9dZ3mThCV08ywqjr3VcmER9xoPrsHmCe2W5u7C8m
7xezD4evthHtCyJS+l1msv1h8OzvjJ4rX3I5q5NHJXlcm2L7nq7kRDSZ4NFci3T4IbThvTEFdn7W
cHPx1G0gBHaBqaWnhN/sySc017HOneGwnk225U766/IlgLljg7kN3KrjRH0fOFhTVGO/GK7MT+Qs
rDd6nsMfpQWAbPo9u73XoDh7jJk9dIyh23etTt82hiw8AG2tfgTNkJ43am2K6q3Wh4oCkJ24ss/3
2eQ+cXg1vyY8Tvdeo80DYoMBlO3qbEeZV5KbaPwsGPe0oOK8kPm7NJmsrD5MWVXewnEMhMSgSuzs
tiPXwg/wsywZ8y63IPeMXC7ZPa49iShRtQJz01IxhHREj3d/mOuTM6/BaUnz4UzqUfdJFgbCYItz
RGEp8estwiJTP+GLMs1kqGR7wwsjgKKHc7wn00izqtOrFxFPQtFFtySZy11T1BV1tueLD6vU8zcG
1vM9JK96JP2i/YULr75pzKY6b2PqfYWOG9ykQ9ddZ45vGLGwJvvLHYf2VyWq2YmMqR1/NKAnr6XW
vU90hK+9JCgUueG495w0gsH2sBp6YZIjkD71riJqMsDRXURO2psPhh6cl8yX8rPJ9IsVMhVteioS
IPitZD89GQJM3FV1v4ERv8ke0ivWzE5H6iliPHxG79uxHxjrueHUS1K/Fi7y2E0UGIbXbea5zJUj
WSJj4azSS1rcwn66beKiuvKOIG5rb8N0XeGK0X5SMa/Yz7jZ6K2bCdelCDhsRF8hRHeBYd5MyiH5
h1tC3Jqjz8DOH4Y1dlnA8DbqLq2STPevrCvsykT6Kj9NUrcPOV8UqTr4YJ9xp+t1RyCI/0lp5EwR
W/bWjzLDWxXXNcunjpfkBQopDACEcM1z2R9SizOT8LR+8WI/bLyfYxt6edRR8l9lqT0/Q2RzsoXe
fMg2g6m90VjhOfPXd60xEaEcz0tEa81zQo3EJ0BMsIgsaBVHLnPsBR3H/5ERZvaJDz1lZDm4MVY3
UBHLusYxCuGoA0d7B9vx2CgEebcIWGSN4GHzL56sYZrGqFsh7XYYYCRKh+W3w87JC0ZnvVV+pIDY
J98pXBHX2WBaiW+axU7WqfrQq79y6joWxz/SzXpFIEkdm7hiXzeF6oCIQfMmdSqrIyt07M+yHsyr
VTssnJy31Tqsk2SlazV5MQatde/ViEDcks1pzkaEMh8x7d4j8IToMmfkNOnT/mMDn6XEE4b+Xvq5
TGbsfRGZ9F/2ZIVXruGE5xLa6n7ebCJa+Nj9edW9vllXwpbQaunxVyxTnmlEBmrfgd6mzRO65u6L
RAA7Z0V9WdzngXtXo/seRKbIvZLSLmJBdMSxlBZrwdDt833TO29ua64Phlc6H4bHaIcghutVWO3n
6Nrls+3ntXnc5jZk+Ouo15DT/NrIWuu27lrjITPEP4EYF/zh78hLaDpQUBzcgv1NzgWf+AuxQHKB
3xFXE1x6esRTOmasvW1+V7MygnObUvWOVIzy2ZwmjtL/mSX6Ixb9P3544KGCCl8A3vzG92zCwAwa
LmQTeNlwF3qdPpKJjYpgItvb82LGKT3ZJRqlnD7njSNFjyPJkFNlYQPqP6qOLJ4gkAw7O5NYpAaB
CSeYvZ8p49GbhXXfkBnHWEZ6hEFwom5H7TnteXbK7Wboi9teTEgVpIXsbUitOibwn3CYmQqYs742
GGxX4kBYPNYw6CB8BLzLRj0SBzG7T8tIc+CyLuJeFd5HyYrX2PCn4agMXvhl2/gtNs4LKkUIyT9c
OnFBeH+7dCEzWzhzWzAd/H1bk+RW4vI5VOswlPQN5r3jLCsr6cr11FggS4QoHlc7RHe3WAZ5VfTj
ug/rHVXAhTGYRZIWWUgMcz4RQjhKb0eA0nQyW+xu7WJckbdAv1tXFMB2WR7JDfunmNbfWN4L7ReG
LoKWE/C/8DkXcu4vt17BWdJNIaZKU3clLU44baQqb0t+tRnDg7VMHokf/DrsUc/PlmmOv1C8xpM2
L7QeAzfXaioesdlk7AG38Q/35n+5vq7jBdyXPlGKv0OCGTM8z/JkeKgsBlVIkVl4baaN/ocf80dy
7O/fY+hAPPII8Gq3foMROwRjlk2QcoT8uRIFKki1mWc9JstSe++CBp53ZIV7x0qbhCwU76GgCMU9
NKvqCmYnvKvXoAKb4WHp3EbeDfZorlGVbsbOKcynbqj6l//50vzhRPnr78z72rRc4nR5BwXMfn7D
NMnb2hhIcO9NveClsInGjX2T4WCZVh2W7Nx5Cas7rMntD+I8LPL3hBnnU52fV2f1EmCG9dMtw+XP
0PJ/Y9D3f/4Gv/HWv/3j/w1+fVN86LZvv4bf+eu/Idv/P0HaHMS81v/PkPbzgF/rf93rt89fff43
TPvP//JPTDtw/hVAVZtEonk8muJyq0JfgGn7/r/M0CYSnBsVES24+Hv+jWnb5r8cy/V4eHkPCd+9
LBvo/41p2/9CwODGZjOvgwXd+3/CtP9uZfAdiyEQ1A9wq8lZAU7795fF0FDy6NGdDizaDB/nUa93
TUsge0y6r343wo2nwQzBLf9yof59S/0Ni/b+OAH/erfjboZ3tQDN+eCg6r/95LEnghBb53TAx57u
C2273ZsUxHFExEc4CB+dVeUERs3ja40pHuqBAr6KA5/lETGjZdI5zbqjMe0JgfmRqhRaZWXuyOG6
ZkMcaEp8E6txHlcy7cfjLKxGXxg+chpY9WqjRLbB+m7PKrIHApIPtKb+D+nI5W1tRfgizVLmO7S0
6dvaX5IzKiilK/zl6BygX8xVJkuMrw2Q854X8UR2r7xyUG3x4ZPws3lxvzXvJehYPtgosK3VJj1q
NDNGi6XZc/ktHCv/e7h56kDuRnmtmZBcVgU5aDFG5qXPxkTA1G7LjPa0BoJhSLr+8ontPZjS3qdT
KU4DwlMyz/l9kI/+flpgWDgd0SKs5qUgji7GrqL5tOJxCgxGdaF4WCXhvW5Z48aULS0ciPAdmCQj
VI5ZrAMI1vPIf6iVe9nGWsfGgMpBCVES6CHeOoOTLwudK9Ptkz4n3iizNebHeo+JlBn55SBHQzt4
RFvGvYtjrM+ZUYu0n+94/aprc+yG05YyjEjrfmSuMsqkpaiMLdSUeMyYSgxz4e8qcGKEQGINBjcb
TwK9Y0/anHtyTJ8EUvqxnUXVck7N/lLT5CImnmpD8G/EsUrLEbUqk+dcVt4hdNnRp7eVLOhZG6zw
cdqMWXBWo4MazmdnTdlxdIhH9Q3PuCXCpTlZ1PUP61b3VUKenJMgKhX0XJdGMipL0yZWDBUsS5zA
J0kWI31OJKPt9G+r71UEOW423zsTJFqC0Qlu/LWw3ptJyM/BZ0QVBzh9UQ2J13xg8nbNiLGtk1mb
xW0pgJiHVV0RVWecGdd353yT7XcJgMa1LnVHZPLGGgkygSDEY5o5w4uQ9jziFDOvvZeoW9ixU9di
FIBClgiYrVv8cxvzCsuur2vI0MNCmIw8VEYePErX0AxVGLYkyms2sXMNawCy9L3gxtR2Pke9Wqdv
wqAvcAgPy85Mbxi2KBNzOdFlZKCmotpulW8TCqFwKz2Qb2WSJVRg+WWOKa8JphdkO7AHmaTkIDs6
rAR8agHR0GqpVOn9AoKsInt1ZjIQCNC9s2U7vYSZchnXgU08Vt4iSO0zHD3vApex5nmdB+tXqxg0
49q2XirwSaJppOV8wS+lrE2wBWACgah4qrB7uMZDQE7Y3gvVdoUVGpEOn4Rm7qVAxAhBLPOnEYwI
pFQZV7ozrT3hup0du1nhP4yb28z8frLf15txl5JN5GUVC2bya2sqD51psOl4vRiqJ1Efpzy07zyH
GCvljNeXvaikSnjVdThAu2wWFIMgtw/anhyvslO3jbf198yrPvPK8qCoSVZLhzo7mqXf3TS+T3hJ
xifyCcfeZ9KnJyJr5kBMb3BFkp/YDfPSvhOsSMIru31vzbXMikSu6Xyd9tXyJfH8QzmQhX4VQprk
3MCBSOOtWVHN9epa7345F+dajPUVmszd4kN7RESqDHbCsufe+0WaJyHzpFYR5Rk0wBr9YrwOMsM0
RSpF41nuMykYdKnNNH4jWchURK+kQYJZeWIIsv3qbMX7o28dZ5/T4SehWP2byXZil3VUGMwXghFn
mRUnojbkvcGQGqXZZlu0yYaAB3iryn6aQEnJ6lir4UQs7vQxGHK8ZbBKZgHCHCn3mLvIl54obIcW
AaW0F7Iv3RQ3uzFl7wFQbGI0bnC0g4UP5vo4H4qZq7EIAezb5lcu3yOky8yfsHADZ3N1O6XA1nOW
HscasoPxz3moc/+mg1U9Y5D84nQCsW/D7lBrlZWRx53Sn0q7IrE2VVW209tG2VgQrtokxqr0ZwGi
hSpQafPa95qeHiotWRKVa4NCL0Bev1ny6aFYs+r7UGiCXNDUfpm5NR5Qp1l6HvLAHFw1BdOx62h3
d9M0BXQelURLAZ+aFksfyclsPilqnft+Uek7MXSW89gT6zXGw9aQe9YOtrlcUgZ1mXRUB21kWJne
VZ2Gpiywrpej+U64UbsnSwyMh6HVFSl4yaKbVwOonFQiDMdLUvUgH3T+nm0dCjnir3K6gPUKJAMN
T3MlgEAuEZO3fu/Py271tIjqaVb3a9B8+9/snceS40yaZV9oUAbpALYkqMlgMCIyRG5gITIBh0MD
DvX0c1hT1tZTZm0zve/Nb78KkSTh4n73nhs7pNxTTQtUVxfGI/yx+GGiypxvGq8lTbBm18rIQsSM
bHo+6RQ6FNgrNiMyyilr2Jm8FmSVkogQfnohff3T+NM3gDD3MHY+RwXTJhZLZfjaYLSwN4wYsGKC
a9nGQlcH+bRZdOvtggEqf4yyGkH0502GPnvKvOQ1cbAfcaXjAxCPLM8Jw9uxdyHPF8aSPhW0EG2Y
kW+NMabtWFho6to+pxORwNzoLXysMBKmxO65bQ/9BWwjV2VgI7jyJ7Weu8aG5Re3uxrtJuIdGjec
BZ01wXozGqblV5wPvJBFRckfFopVjq/sUgVDtWOI8mv0UuMFGaPd96Gn70cNf5WJtt9VoMR3rEAA
rDzMaIHCMGBqwj1e6Yq9yPAap1n42Bkzjy+Up+vE+w6Nt+vXdjtMWGuUkBs1+cmuDbA+OrRg88BL
1ztxXOg+ZHB/UzFme1vNiP1RyJpxqoXvCghmPH6Evpk/+ZgbTwhu6i8YFnEw2HIOGMPGt6wGLq1t
AJvb0TNxxgALKvGzmPFfoM1YHrwZs3tPn0XENhvvjCGAIl5JK32EJsfOqZLBPIrEnXa4/pzPEK/J
GUFiuhZhr8aVUZfQAmNtiyPIe9iVw5AVx4Ra1+cktLyTGQzWC0mL+E/exRjx6zIodiC5pGJhsuJD
1pveEUTvvYd0ysJN4hjyyKPS0XeBjzrZVdi/cf7Z1ivhG1DPcKmYecwTHiYbijJjNwIDuQj9ijeh
LB4Vk5EX2xfZXqYdRtwpW+5FG8M73IkClP1cgiLn+ACCuOy2dqexRfa4lsONlzrLi8rm+Q/Ke8Fj
Gij11ELLfwrTCieOkiJlHhvr9cjRfssdsXsN5sp8iNOyPKYInrvZHhpmdrMPKZrPQfIu3cZlnmXm
JwiY08swFu5+gLdxM0Kn5zQp4kcHC/kltwLr1JeB/27ko2Lu1VTvjhuDTocHJfrkoQ0ycbaDxFiw
KHhAhwLlYnaRqdmtWfGslbAXiTnOwW3st+2uMmwOPGMspzUVOFA7dYcdZpVbaKEr5cXFA7S5dIes
0qzsoeTAWMw9U1hjORBCUUynSuuXI4ZBrci5Oi9xPMLsXXCKW49sEexvOvGHmQXMElHRBYhWOfjH
cCnpLHBKtCdkvwet3Gzt5+FnJmuL5g7K22RAfgeMgtg2TZ3+cGjJN2je0O2TJWeypSeosgVD7UPd
DN0HD+3yZIQdp01vgovc8kOQtO27oUBtvILeC1E4ySN2B/thhCg/fVaOPTW3eZJN/mwAPaULAFke
pxnaaLiOaWMZ7877KWZqMWCXg6dCPlSAFNvBBM+eCndMXugnl38XA9EsRNPD4DW6yU63ZnerUTk/
ELPdFz0RMYUCY4fveknCBe+OLJ+Twkh/cHNnR3pVnM/GBSkBoEpCmxpr0lOwaNw/pDCWYzLSI8L8
jsDd3FqsFUtjs0Bz8GZV8yAO7Bp4Wri6Oke/Cd7uTxX77i+P5GT7EhSu6B9iPAoOZszRLjdWF/D8
FBnUTaaFqBVeMoNOKTCvraS2ZnmoLT6EkU4MmN/aAz7SFzMpjFzx9Lozxo6oYj88VVYGklM5Tf2Q
tPivopHZJjTm2sclAc98Zl5b3+Ez2kEXGdMdyn39Woe2/rS5Eq0bKHNPrefepDFEyZR3EV6a4NTP
CaAgPoernPDnJxL2+Dspw+wg4AW/Zvgb3i1GewGWnNn9EHKejkM/ztshDKqrvTjiRnyPgRPMmXjv
ZvmmmWt14ESdnifbhUQEL2OveQk/Bz8Zzn1liEecve22MAgp95V/lQwBjr2wiSYOOnsqXcO90ElJ
l40Xou+vm1rOqylo8NL7+RyfqpYokev58SVJg986SX8AF043XSOgraYGyNvKAZq06sQQ/tUBLOx7
i+DWBW8NxM9OX9sg1G9jxpODL7d/y8h+RORnnEupVXWUuVvcVOX+TdwUY2bdh08Nx9nHvABoPpG2
+UOgemEHHe09NROCPsuwPy4J7C1wduOrspxs1RkqfehiL3uEC+hsIFBRJlFYdX+ewIMy3U3qg8AA
dxsQACKnlsybwa7Xj6Qz869mtt1bWpQ9XQX3qF5QtdfBG2FD+s2bNidJfgQEKMeDggbJqQqDdYuo
vFW6Xz5TYmEra9LmWpGn3s99Zr8zkrAvw4CKkeOHeZcEGX7HkjXfSzinsa0OT3NSzb8lZ7GHsk+W
zQK94aKhZz33nPJIFIA73S7MwY9kE+tLDFjp19Cx3vt1pX9L2ZabeOnl54xDnAl1yJXaKgf/Evhc
1lbDzNMl2VWAnsoAOw97SjB6wzqbuWM5sdqCFMwupTPErzlVpEevjrNXggRcUCn04SZIaCOoSTQW
qWM9+sQkj7FPiNwYdP4yzbV9SRmY/3Wp6GhW0iztFwj6/YNZsOcxOIydH2DA3LB0i6PPTLoQXZER
997gg2ZtHGDrWH2pFH6Dzd8nEY0u9Vs/1RAJg3CynpU31y9+a3efGSa0aeUr3ZQREZkSRnQef469
mTerMGF9IXvUiseF1Q93cKnEGa8g40fo7267JSkSfyb9yP3K09L5GkQpXisqnNbK96vPabQgk8am
/1YxJF6Tg6rOCSc1id1jzviFsiKiCyjfysF3n6AcWRtLtN6eV7K7tlY3XMh5wXEq9HCyhgbmhx3E
Gyor8v2snXm7pF117gIWDJhk9Xvrm3KbqMJ48nLlrTNmzivLX2MgHypCkVX5g89ATA8QcFNvb8AV
u0cCiTlprLqv+PQqJodqkn+hOkPlas15MzPPI0O4jAn+j3Ke3xR3yIi8DM0ZvjQwMfZjwpnAjblQ
22nnFltOAe15Nof0ww6l9eJnJR8gaS38DkZXPc1VQHXRvWrl1S2av50CN7hp/Ln8JGEz/yVZR/rM
M1iGYmOJ0qJhHjsYxk5M8kslCFvUJKy0P3/mkzdHOErM9dhj9BjTzLwfxl5ZZKr7RO7ZjGEJJ1oa
pyTrA95NgME6zL3IoE9AaYxzqQ6eetm519iJAdwlLo09DtAx6lVidfBo6zmNbikOoHn4OBiIfscF
MGEV5alz36aKLS7KJgp9jO8VftqSjf006Tm4yGROI0SPdmeFsfmFexnCmgVNbqXKquDr8+YkUtO7
DNygmEs6/VM2+4/zkloYT+fxCRd6WcJSdLDHYz4jcQCRCjBYe/Vs83rXhD6o73HrFThJy4mUUWZX
TnbMV03Wq0vqBwK1q/PSZBWmbsKgh4vnyp8WF/1t6SNnSvNXM/dzsYIgLm4cDXKXgI+Kr4CqMSyM
frfvoe5Rf+PIyOmI7wfxzHOZxyHDLpKh2574BRYhXbUnt0VLJAlnx29NAgwPjlP3kVFLQr2WVt1K
pMD0Onfwbo7UzaXhpzFjbuLH1DKdi1kbJcJZWPkn4q+EJyryQ7acu1Pdm/VJujJ4ommx3pajQMmz
oam/32vqr4hrXb/xnI4jTeAXatMMmCzhLtfZJnHn73Bplqi3E0oTEtv8MZYEF2q8xM+ClWklfG3T
21KTYxNLoLZJphOgu+ZyveMtdqmNN3FlZUVwIXRT3xYD8+cKmib/yXDKvajG5XMacp8gRZ39ImbG
KjhVHQwphzqIGvEKYx6Muit3AhsyN4zGyDQHzlwY85yOzayvhhXDeHwMIEJXrW38CvqhW2XziG9k
Lu6c25qwWjbl082P7XzdzIFx6HNRHw3atMDalc1vE8RnxNSXNHGRwWoOuz3XdSZRRXMdzKrftpAy
2MsmNlL+0Tv0blCciYaMW9p0aj8q04yuMzpKGMs7Kc84DkGasYI53mnVtBYbjz08WDjGX0HtW8D0
ydgSkMnSFcrVksAPB/vtg37knjzK+kXBpzW30uumOVr8ISu3BijL6jSkqY0kW1Pril9Y8YGEhG28
lZlL6NJMM7RnDtFqneK4eILH1spT5Qv5nPrLnX2L2xLEsCfwhWeN1H8zH74x5g/xmzou8RTQiWRt
/TI3mk0GsTHfksll3cqalMhFnguYmVirnCfMQRyRx1CSElL087xp18m+BgN7Fo0kowlhoGtjcVyQ
+l+ku0B1d2LCstRMXCd9NyMlXtPdCKGAJ7ThXD7WI0KcM7jFle3mw7NkHcVBpwiRheFvo3LSbT1P
KbNR3zl2IJVesy7DAVoGEzRWkdobmrNyhJT+wKuwbIhBTQ9Cdj6uxSqsngnvQ6mLZ8pefeEdA4rt
Hp0Z+GmUwd46J3phft03TvCDaiA86rLsUAE2ZHRgTNQbRlDm2z0acgPQPqmmd3KybBBIqPOlLyil
0elN1jhto6QU4Yvq4/KcUGblKtGqyM796RLb7AR7ipXqYiWXtP8K0qyDMDlPultNVXG3kJWGdwtq
B6xxPc55GEl/Npp176DURkMVYP52KM7Yso2AM3bD/uYARH5DOB9vlEgQCw2tfCdLt9v1Xe38chS0
W6fu3Y0MDAIUlbRn0NJedoVyBJq9GgPxu4fA/SEnkZ96wxoeW8rlSL4vVko2mP4GTCxWzl/TwPIe
Zskpa937xvCOEQ/alOBwTU/elO3MVE7XKWxdQl+uwuCoeCFulMAtxjqp7eQntlIft75rWc9JjNCL
O8AsnjMaLDaTEXOBBtPpsZ3iMBAhsTFMdI730FZW99QklflkE9u/gmwus9Ucy+ZjIa/2IBboj6uh
CcTF7AwTGafsMhDIfWP9IjVug+INRbIuMOOkOPbQP1dBVvjHDBTYtyTa+4mHEa0M8zZ3z8FsRkxm
S1pGYna4xi3tkL/xaRsgguNc5UxfdtO1M534ezT6+wLHQ+RZ/E8+U9uDY/XLxbRL/5im1KxBYqN5
ADl7rbvQ/Olc3aZ0+LHzgd80fglD1rdJtP5xwvR8dsd+OCxOqv922pU7wce2wT95d1I3/TT9EfSe
RG2uI+4QZKZ7nMh7kLb+Ee5OAS6iyp/diRo/w4bMiete/5RZQ2xlAaC4gxBf7jOXYrVoSorm06rN
Lt0k2q+euCKhftdlB+bICW4Bp7Nvgn/+82K3/AWL77ZLhuY96a2ZK17MADqQfmcce2USJOM1fC7H
rv9mByoCclBj+GIslgNEAhSt3OBveNSF3z1VlfKYHrC2lKQEXPcUmvSZFY6fn2qLL6LWmEgY5rlH
QQzXW5lzoX8vyGr3DXmwidaDRY1xBQONJrn6pFJAmWvK7ez6OY6r5TYpRmwph5sz9idxY7hVHnLT
Sp8626vXtpo8ij8brhpu1W7a1qL2NR3jazHM4siXJVeebuNrsmjT4R/f03hQG5xH0ydX5uBB+wBl
5qn4aXC7F+re7EVGdG1n4XwRmGaf5ehgJScfss7S8HmWHTwS7FLsjEiXh74jgrPCYkPu1jbFizPy
5wqFz8Mz133k5jzXq9boxu3A9ZUJjUbhMGQRH3qO7b/9tCK3jkugWLnO1D65HOi5CeSeARlCs8sN
E10+sEvIjdAX032Qk2zPTFe/KT0g01P3nXdNAcxfRlG5twk5g1hNQABCWXFC3YVmfIML2T8SsNiz
qsZ3vFdwjyxWG9Vq+29dxhD8O/PuPrSqzpBrZHcCMQo/TrH2OCKctOGXb07ClkXBDkeWFIVTWfaI
G5FpS4VvrX5lntqTu7eqTdr01Z5kahCZPu0KBIMDQrCO57KbJpjxZN8Xv0mPdxdmh3qTizn4O3Rl
dxoNlaMFW8GHCTGW+JvO6YRT5hAedexxkPUz5lbOornB2NRknjrsfju7aJwoYJqD3Ft7n7WHUZhQ
YW8cYmoNVy4aCZWz6BiXfvJY5EK/qUlfdemzVzLzcUJrfJH+5P5U4zx9SY6tL82kIbAKdS8lo1hW
n0WYEStcnGn63Sjml7gDufQgkXI0WQrueKshYzEedOAzhwHLwkaj+vQyGqb5BTovKDZjHeNrxbYH
bLoMxSGufLooesegUjQk7pjWmIZmr0/YucqkOsC+rl1gmDY4kyzO57cmUDZzmzTc2nbNno8tu9/E
wqzidRUDS4hIlSwXLWHgcES11dEP8d8lEwkgiMiz/001kkTLM5n4rdSEt5b0bx0bKyucvYe6kCkx
jt5RPR9zdjGcnGQYaGvRTnMOp4kfo5SbAAGsqpCGL9f6lQ8tcxS7VKdpIHZ0r6U0DojshR952C75
FyMPHb1D0v7FzJbOpZGBKE6p0vN+KLItH2omqDc2L84u1EnpVeyxtR96s7hX7trL9I7ebG9alRkv
yf12BeRp2eqESOPaZT64GSlqiCaZm5cATNCPcqv7JpaH5GEUDQYuicl46+EigFkeFqelMK3jVDbT
w2wy8Qa/ikhe4GFkTGNvgkBYPFnghoxsvMHDfXQgHnG77jCGly3VWWV+CIzS2NCz2kVwoIc/Vu1l
wJxb+UDYkPVrmYPI902shkNtr+OBv1syQisrS3fmu4kH8oGOSnVR7Whvqt6kzKyZhg6Alde/p7pe
bu0wlOdKNQFjdAgArh0Xhxz003deY/BO6qA9FxpbYQxPAV6zHGWk83H57ghw7RMr9A/tUo17zuvI
xKTJve0/fRz/4w36fwAc0aXvUMX/2ht0+tN+5p//2RT0ry/5P6YgrD8sJXDlLDPgk+T/J1MQdqEA
nJbJ1BQ3t+PjHP2XKciy/+GbgXVHxN2diXQP/4cpKPgHLlOTQ7KF3S30bSH+O+xGyBP/ZtPzAd55
Frct03QBxYl/8xBSfWeMSllq43DXEXGF911T8S3XCCn6XGZsnjFTpZNwlmqPHaUnUNkqbIZFWF9S
ZfRv7uhyFqPCMHvHPDJ6a9MsqwOFfswaw0AFHHfSvtwmgN2vkKqhCA9CjPLcek317S6ePnWAjduj
NoXmZEUz77BNsLsDIFlSoTa9Ed7TtzBJpyjDJcVmdG+xrD1amYIhEOwCDuZ8buA4A1YzGycahaHI
6tLqpTalRSOrt5jxCShkq49Baoq3Zhntt9i3g5cuNcZrtfR1uhqWDl53aSbHwQrEHTmVwhgIch0e
GSDAsYEgg4ZsmFwiBnab4Wi3cUriD6aOcRQQ1p/NctTeVqlQ0j8948hGoLDYJrju+iW5x3SKr6mP
XszQZ2HjJUcC+qRrxny8ioFTFQuRS2OGTbAnX9eVcn2GeDg50XeS1lzLrMAzjQvgbGtDdhsuuu25
Ip7p7au0Y8wOsQknhTtm8/O42GwBsaLZcNv3U96vS9lnYTSGBtuIGGv1Db9rqQ8zmFd62zsm1ffe
pODdlF12VVD/97wz7osZZMN+juMZ1X8OH0HPQJ6QYdZOm64zq1/YqaAnLVkxxTtBXJ8Q8wQZwR3a
6dWslX9TjSm+TTy8cqMFAZ8ViRJemiAJlmKFSp1vGArYb42W+i1IGLRtx9yFhQWczNRr0kTNKSt0
+eyifeHKoXOQJqXeMsaDO/W0P8VEoqM04CdEXm8OxUZrx3nKqN7ee0kjbyAV+mo1WJn4vvPxiEjR
r8WEMbTHhywf0lNImzBHJkuQNko5x8ULqRWW8XDiJYiXEFqbAXit8SSzY+2P91SSJX43vubCXtDH
wN2ZACfwkMKt3S1jOqCf82QQ4KNsMDYjkpHLcBf/aWkoE3Zc02GT7vDqqog5OvWeTVCzS5t1q/8K
hAk34luQfZNmTb6hqBUkHjtoMDtZkMy2JlWtt2KYkhXRFTVu1cQfbAVgobU4Zsw1B2+7b88NWviP
ljSoHYICXHgZe7qNRI61WoB+TwP6KZ2+eA5DKuo7XweQ6qletP+pTLXZa72ED1AwqPPT7ejjySAZ
cDJtNGPti33OuDHbm52ZvdKVbu5c8vkbH3XgTPMEbReQJrfNZOPwkGr0x8sclr11s1qwHO3owOro
HGK0w6jXzCTr7OiSZ3lOUpgwBJ2GHU3CHX3jLZ8ULgbexdQBV7oeq/LID3BSLOToxvUX4XtAYgNC
51pRUay5MMVqfoV4gDOrmeeBhLGDZqu2A7Q+7GjtkAGLLjIwVDEV4E+jLsWXysemjqirIYbCVb1c
rpL203lt8chocou1MKMxSCZyvSGKenCguksvVFbpebkYhpG9wpnwCfk5vae3enLnEep/amt/j5+K
ZX4VU0dv4Afxq21gQP6oJuKc+JM2/zzMzFwOTZ4kPMiaGJfn8add/S+vDjmy1LrZKFwIxFmHfmfR
+vM/m/v/F53ZErBKmUezvf7XG/zLn/wTPHP5b3v8f3zlv8y/1j/w7wqH7DzfzzYd8MD/Yf61HSDL
gc0Z4G71/U/7fPgPDOtswZ7r2ZwEAszr/zL/WpCdwbbi/OXY4Jjef2+f5zv+2z4vPM+xsBn7FlWV
jmtjM/6/sgIqkJ2TYVjtTMbtVib3RT+R9Uz4tIZGMf7JgrkkBAY6ghagee0zPt0OqXCYDmNCDauM
dkJ8Riat1tbo3Tox9luLaqxDDw0U8J6aHiCQiYsTJP6BvaPa9kHs/bR2XG2XfMLR4U91/9WxHHYX
eAIkmNpJindOJ+lrj1xxaSoccXhGehkTUzGDE9p8cJDjCPlsSrww3+MUIUyejBwTtMtNGa/edyyX
FrEwoEptHN4F2g5x9pq+Xl4OuTCXQ1lusVJtG2PBVVwgaGEaqrJfZeG7xAIaMZINzFG6kG455q+B
hBRX7oAuF3/XqssoNULvouNAlrvJ9L1fhBuHj9AMFma2tDgdKKiOX7iAAya2TYWTRjZ3mwdnfa7I
xiQA86SOvBKHGV6J5UvFBVyaBEQYsdOr+2DN1rCXtFZ9V2ZR/DYcKk2QArru2qvJYApe5tQ75pZH
AnZ0zj3YkpdU+ea7UZUEMIXjc4NsBsiDcVJuWidJfoI55wVPaA3hF8+dba343XWK2a8K2n1FEdrZ
zCX3E97m8kvo2jvAc0XqIzVp80tixWSLSqudMjPrahdhjP7nz3MUV1mSE3CmdSTh0rZDkahK3Ngt
hC18gEM3HgEOmxtb25THJGP6pCmVYJNPsDhNzVKeC8PDEyH1Mn4CKM2OI7sIAf+bzhg/0Pq3E/QC
bZLc96O0DfFHdVWkEIyweLRi7xuFfK27qo+WyWhOFnbaJzTwYl0gHF8JoqA7FpjjjH50rmlI8XRO
I9Ne6MI88Y7GB9u49yjTs/q7WZblyCAIZYQWtMuc8UFtq9H/YoQzscNO3UFVdrovyuClAS08hm1F
aFinj6iw+FbCtv5VU+O+TXTgfkrrnhEyIdAxkaq2aO0wPNruzTTrjyJlvG/5nOJ4m167cCAjXuq+
dDd+SE4ZI+KeVuvH2rbWOvWOAvOnzyRSlTmH8Qk4RMMWsPdKoqVrk7ogf1UjO7/wHPiXzirEU6g8
Ue5NpqfHPIWf2HG7eHHBQamoov4x2PE/SWzw0z1tKNt8hsRoNns2OO/B5OVDr6bnlwNGKA9F6OA8
LirhvpbQBB+8ImCbbhtYIKTUY1pOR/nXHBg9tSPz+9U8xd0X1XbJ/aGkhN0vqcrJepolIUKanMv5
nMyPKTnbm9soQR4yxjVEOjl5rCe6k6O5T+TTFATkGsf5Dl4IxfBx50k8SOmOx9ksvQfGfOz9ozMs
fCfEonzQ1lMITnIfLI1Dx3HtDS/Mse1fSJPjXozT/BXmsniZe7tq9zb2yS8+3/JvKgaH1moAStDY
Zjv9tOIcolYzBUT74xRTbOY2lJyZKPQrJyuchoFmRgFL0iDjEChPdzXWr2uqMoyqhQ02pvXsZ1V0
zrk1GptfEgHlMcX3UkS2aKyN2faQTbSpkysVbdZtaBPyeaPsz31aF98ZH2He1dixX7uq68+5gl4T
E8zfBw4pBCvLg4eyLJZ0lbdziQLlxOZJxLW1D5sxOaFVZ2cLwxj8WM+7C7qGZb3A4brzfkVubHh+
/Qdf9cUN85v55ILIo70CMnN6rJfR/5XkhemsNQHo73GpFqjHGLt8s6Z2mQvaWujgmDWzxzOfAcXB
wDu0wAcrhQl0bLqNkkGKbS5P9zAQHsys7RGWDM+IamfKMA/21n4KrOIGe3lcezy4THIgRzEohrc6
LuVzh2cIVQ4ymiXD65DJ5KJAZ3wrYikX/Lhqa9lYlpq2H04JlWl72pnML7WAFhkGb4KJQ3AgLTz/
hJLNe2gn4hwDHmEal+k1a1F5YrpCwVzl6XFDdPrL6vJqk1tGC6i4FG9G2mxFoN+4htQ7Hv30YCmB
mGmnkZGp4Qey4p8MmMVG4KREYLTkeqjwK+RgJKXhNjtPe0BILHm1DRcFLBbGzTJKfz8vSXnA8nQ0
k9YTq0pMJidbY36nsQxUBX6w9sY9j/BDAnFs07p2tJQ5uBx/2hZclrckbN9zc7YPOZediAa4r8wY
xvxouzZZzJpQCVZVl4pPE3P4to/d4cka3Owy0VG/JXjQP7S2ffID77ee6j2lS4zXOuZz3dRpgIGT
9RBU9tlyiSyT5g2gKAggRxhhQtCZla+zk+2UAZS9msHjaoI2vsNbwN/qyi12jZMdWxXrbB17c8NU
M0VhiKwA6Rws2lgTRM0/izkvjiIX+sPJ6w4TXDrLC44YWrRSJtXr0jGap4bOqd3SjAEN2sQs1v4w
6VORYtvY2kVLd+qMcxz11/lT9HD8NmzxHsihuk85zBgJ92S82dQo1x37gLQ7qkdnG2F5veTc+Erq
jK4+iQAO9CkBaRpfI2ySFOOGegbdZV+qCmFiRmpgqZqzFwdN3FnHYT9Waysep9c4Tn8Ino8fDFoB
qvQXLw30VnVN9smC2DxRkopztfcKesAmnBylcz/LZ4l9A0KwfFCPAQPNz6dj5sBHvRfokVcaCcJD
zR4v2Am9r85W8e+EH7xKrH7aQGoSq6Iw/G3r1O2vyh/KfcI1OQcAexTUPz8CmU9eFejKOwfH+0sR
CESlwa23NuSkEtGiLOQ+R1XeAz27s3jqtgaAWRLWJcNcPrIHjDudK9BJXrAcbQ5kr3Lx1XEicX1s
MHxGVD+Zh7rwejYkn5a/AfDaOrBlcEhbXitMJcu33XjmPqDjMwL0G287arSTqLAYtafeDi8EjdNk
6kkHRL43NuvaaSO788izjzFYz7LRkBH1Ro/tH8flhutVfBTVJDZMVKoVC3FU9FDwXGFEwp5vhtM4
RxQq96Dq2dszTKk+PdazdedypPC6opUbrodbnBsVO4yNVtAGwU0shnVO4mbcFjWVr+UIVEHOsb2t
87KOhhgbknTsh2TQJ9ue/1pWB/lpYJsCjMRp/0fn3QadiviLzVHrIcQ5tyUV3Zx6+qt2xgI4oxvZ
Vbh8Dy993Pa/ZldTryBppxut6YE2K2aoGCgixIcsioF+rTpM5hscLWI1u3W4dVjK0jVzYga3w3CW
hb98tagDmzgzs62bJuUZJcV54/UOaEplNKzWdU35ZJ0qd0OVsbEHwZwe/dj3b/XAXh5jFjxRKKyu
tufnDzMWj5tJSO9cwKs4DykO01VaKw9GYREynqbv9sw9pLhBHvH+LOaEgMPQ++pMtgUVD6OmbnPv
T5jG4UXgGSBmkspnp22ak0d5zYinoJQfhlX0F5bN/NAsMNC7xv9ONJxQHyExStxMP1BVH3y4bt9v
yqzEzwNFjzTZ7GT1pZ4b4OqtdEiHFAmkpNSrZ1aP/j5GnEqa/iq6ylsfm7nnz09xlnUL1HrK56Uf
RyX96Udn4uY/0jp/nYr0vRJ+/GjGtfoYzaDZw0+SIBGdndNyBp+Z0W59KaxN0QJvnRlhPbR+xk5X
x8mm5ty0KU0WZx0KiblNeW8mVxle5gBLA3ZuQF4LQ0WKZX+Dw1FHK6E5lvmHew6ozmWykWgNLJoK
pFtiE4QvkL42dr1M3/Gcq7WQ7HtxYPOT8e1sOzwh58n3McH6zS/RD8lbANwLQwK6g+ZA1LYJnfM4
0sO+PlhFjs2mGh7ZUcHkOxx5I9PDdqDItpkmKQOuWcDs6vFbylG/KIodj2ikMx/rYTg4nmUdffBu
G1gdJqBuFe9HRhIhYaVV3eTZwc9/xsEMfxLMC4fszsXjCAvWbMzb79lI51NOzX23cuGjbO2xokK8
oDg7YMS9LXHGbWpE4SsFhfNuSVX7iMJC3lFU9ZfJBwZ3tjUcMpvKcGmDceLqw3GiCY1978/9BYha
up4SOTMFRuJEXso/lRUu/FHqfFOUS/rNZcw+DB7Tyiw2YKKHPSXxxoJHbFh82ltKx/ogHmn8LuiB
2OIVqPfeNGMAARpchxj+Cy49fWA9tgF95vFAwDFQVYHXJlRbTJiIg+FYCSywjKvW9f8m7sya20a2
Lf2L8gQSQGJ4JQmOIiVqsuQXhGzJmIfEDPz6/nj7dEeVT92quC/dL45wuSSSIJCZe++1vtXyfSnX
z95m6FPcWSP8cYFNrIQQZgl0QUxtsGsyGb7RNZF//vI58A+dfzeRL7AOazLThxI6bWKuOZ4aR0Qk
BpSe4otW7n6M/Gev9/g1ckhIjYXpnOXlvEfFiL3UbvRhsCqsUHzKd21Uw8cyyCbw3dCB5GP6tH+r
8KfgzIQkvC/79dAojOU4JwKQcu7ZWvL6zuns4t31wp6zkVIHcBB611sCWodPmxL0t5kYYMfU1Kzg
T093uixZ4nWCfd+0YnhhIzZJjvpwr8Mm9X4Si+HYdLQUlLs8dL/7jnDclcAy8VpzRApoW/mXblzy
N8ZcyW6GgrSHCDV9OCVGTeaSpXxALoXe2S6Xa0Qu+zFTy3QVbTsC1BozaEsMP4Iwc5fDQqfi0S/8
5iNCKLJzmrF+q9nfWOJb6+DOdhEQuNCcvc40erQVtRP0AGyQmerq2qnOQeRYDcR5L9HwDIF0dFft
YLdnR1VOMPYzk2xw+d57Dqh+57bmryQr/aON5APIEF6sBw+eNnhQK3ll4ejWiPH7eAM1tT9P7mIe
m9A0t2Kei7deZZxcFzd/KHncV3GXV5ewGdSFtiMSyqUF7FnF0GtWdmG2D5nb1fccrgHJWmiTb0kn
LDWaTRSzqAZ0lMQqP9QOmVJAFJqntOYMC8U5K/ZkBNgbnyrmjtgApAs5cg/HgEJXWcAW6eVHr3aK
fyxsQlqP/jKkB3Dv5kq143IsOJ4dNTOQtwF81LPPKfTamyO7yZJar4U5JUefbvmPyO3Zi0D+XtSi
amuV1UZ019ipPJctSnHQ5yBk01wdjHqY9AploVmt8ZSrj8EWhBX6mWV84JfK8LC4y/TNzgaXXkvq
tzQeOtvQAZG8/YlMaATKlUe1q1G4bmc3q8/s4/U745L6dXC1CpbapjDwunaFQbq6twjmeXHczD16
jUKH3Q8Ks4BZXJSeOWKl4Nb1yk2T4U26nbNRRsrk1J7MXdPKxV2ZY+a8LzIUHBpQcXZYxE4iYxJV
JCnMEdGThoiAPH1IWwdY6Ox91CMdkDgVKIimBEEvNTifQ65NutMDXi4n9FhdM+ZO2CRvvQdZ8C3J
zie1VeQF8HhDH6us7YegRGj1Q9jUFxMO5Ig4FwdAsCt00dGzqgGeJ9jU+NQcb4UzPSVhmp9xZfFm
TXy2arJxtP+/He7epsg/K2rEfwf6/Xuq/P8zeA+BPB46UAP/fWN316cfzUf3x9Ht//2pfw9v7X/Z
7h97uvy+/93Udbx/SR+Ah2FK06YvbzM3/T/Be/a/XElTGbGPeQOzOPzQv5u6pvEvKen1G9KG1iPJ
AfufDG9vo9k/chUMXsHzmQVDPWEY7P4G//HNZHBaRKtBp2LgucuCGD02UbP/4aL8BcGBHvRvL4Pj
HGQEVjbH5HP99jItrh/6xqUTODy/3wdDeLeYkoheYZcNu4iA5t3fv6CEvfEfr+jcOuaGAfyCWSv/
/geujU97zuszoLiunHy4udjYYjTfccGW61oUBU6RPHk9+K8u9B57sBXkWPNT38sZd6qh/fTYOrF1
lLhaAkju6dGf8/FMjvdyJycWl394v7/31g3/NthnLq+Uj7bJ/W2GnrrErYxTCcogrAoOTmBoWlfy
J7JJf5OK0FvhBiNsI/Gqz6Yylk+6euMrJ9Ca7sHNh9P32UtZTR26naX69fdvz/zP+4S3Z1ECSpoJ
3JPcj3+8nIQG085hww56QrDPySLxLCeqsjZuO8anOZ1Y8mjaVae8s+CGCgRjXWROAe/Z2+ORdb+Z
My1x5LonKWv0uOI6gYiFLovwif6zHrJ3CxLQDg9185BXZvWjjyRH1VnXj3//WezbmOLP9zycAFRW
HqMwegG3JMw/fhYvWcjW7i0V1H0e382q8dbjNHGKnmoaUWOT9LT4GacEomrHT/Z6OpZ5UXL0K4tO
7SfHF9d+mrp3xx44aOF6vysyod4mmW3bVp3dJrkFeNNOcHMR3ZdWPxy6Kib5NErfawUSMwnVm4+A
60LwwLoscaLPCQ7tGQ8PWGPnIosS7acIl/qGfaAWNxMZbrE6OWgpXYRls0cAOAHpZ5RN8afnNBFE
+t6qT8rRiNXoOUbwWU3jhFKTPQW+kY+NG5Pq299fy/96cH+7lq6B/s5yJU1ghwnTn65l7RZtptpZ
BTK0CmhDWbmt0tG4A2Czcy35CznUdN8jEW7XxQQEY08FOP5ydN78wGjXnXU0gr40tekexgpqK1vY
6KB5duVahFb9UMVVux+GNpoIEirmT58YiSdMJtXJz8EKSCuL7urFiSLgY/gr5siY7rysT7dd7xj/
cOP8B3KJZ5Qn87YlQNpRPAq/fViPM4p7ewg4GQyXqLjFB3Bp7UPNsv4gZsffaollO4QcfW20F52s
WqGTYDxX7yFYeS+K0y65EZHx8++/h79YXz1AZB5SHtg8nnNbXf6w2pG6Uwy5GhV2d1OtGR78iof5
YDP72TAyOP79i/3FWuCRzWj6hmF5kiX9zy9WsT+M3typgKrTfTOoHW5PcXr/96/yFwvin17lt6eU
kUvitFajgsxKki+QaNUdpQnQaps82O3fv9ZfrAioq5i73vh3DDZ/u3zckmld0xcJShBpJ0sUyyeg
HefObiw05hNzyhXpd34FutkoH4iMajZ//wb+4pKi07J9GqlKIRb7/ZKKUZFSoFSQd+7wKkfg3VO4
uP+wC5u/85uUx6DGUApcuWkazHH//M2ZLLm3qZ4TUPc+1th71oUx7zjiXicClf3kfiqttTWNnxNp
bn2ci/tF5uGK/cTbpBaBH37fEz8S29XVaetx50YdbPkJMXXN8XxGx1QndEWNHtg/J2UcpgzcNjT5
vxDZ/wMU6vf7Q3keXUb2SqhUt1k58/c/3vKLvWS6RygfaLYdTPwYJh089xsgpeIfvp3/uGy+wd4M
897hACOV99vtES94hNxe+JhxHIY1cyb2rrEwS2jKfGu1Yb/nUvv/8KIcBX9/qh0DrojLcYmV1VUc
z/78EUezU2YBCCcY8vGZmW8VWBHZpn44jW+Wrogsl1P7KCChQBF9B1Sabl0Mrh+0jfFpGvGJs88K
1bCLd9R5aGtUsCxuepc0EEg6xMFtmLyHZvteDQA5DEbNnscQiOwlc6Vz5E7uOB1UNtirhnnsA7jT
eq0L6v1kxvYgVA6Q0ZiNLSwEdfYq6Nfoy+5qU+RbdwKW4qMtXll1cSW9zEd0HFGjGo+UZmsW/UNm
e0+32u1+cT7sevksjaW9L5eCUB+loreWXKJ7oVNzC5EV5zEMuxUZkgV2Azfd5QkiO/6ep+8zrdnN
REJhvPandvg0c/yBdmwjmSsIYHufEhPbpVE81zVOFg+UfbVK0kgy9VdNAE0As52Iiu/oZZj1k0jX
bMHfIvpL/Ho/5apYwwYqLrZOswc5OWFP1aa7AFAJey4q+K/WyrxzgfBum8hIgnTM6Ez7EuL5MjrY
MEJ2qe+ENoxBQjBNiQ9tDdjiSWFn3mAvYpxaIkUg90vTFIOhZF/DeNBrN5nJbjMC0o8Q5pXLzsyt
feg89wMkf8Rd3Wz6v+bRusvozumh/yKPQr0mZpVtYaUUge8N34pYH9uCXLO27wbcRlq+6jS1rkPW
KMTkdUUjZc6xOfmLD9xLXwt/eZ0YRp+HDM1DVyN1ivHc5zi6kN9DQxvuificdnLJ1UM3eFCEW762
vvEMejlx9MujZQUUN2z3BnK0a0te8FtJhtG3MbF2ZdphnEvSyXuoqqK+ItpHLD9FoLZJdKQf2qbD
/JJHS3e1wrl/qamP11o087OIw3oHfTW7iFpH+2VqxGPGQesC/TNep0hTN1IX5OkuTn0Bu9gHGeTS
AJyW/BAh0oLKqdTFbGq9ifn29igNu2vc5z+aAWpvevuEo6HEjjiQBxyru6V6ptN9oybO9zqczyED
boio6XioZFb9DDEuPdMBk2i1egg7PfgBT2fyKKBEb7pOoy3w6dZUaE6urh7jS6arZWPUswQm35S/
PKOdtmKw52NRN2DIlfcVa/VeGgY+UKJosNE2ZjJ9A4VT7e1oFHSRsEfF1mSt+jZeDt6YEpbVRN+a
uv1WE7eSMiKRzY8cXPVr5GXOvvA10Qyg44OaOLM1lU8LNa5Rm8ZHBJE2NamEwovwefKmpOHgHG5K
cYZ7gHdAhvzPWfnICjvt6SaNBwBPsGGcMtqZ7o0VNXxZKjrlFUbmFuRCuaLTzSgVQ9TOxAn9NEy+
FwzMEbfE63g3lj/OmUp4T1Y//2g9VT3mzejcq55VgWdw2dCSGA55oR6W2rCufVzwnZh9hXYGbtPR
RtvCQ8W8LvZHotp8az2ZVX3npuSDZhbdj2iGEE80U/zSoTrhv5E/YhiaD1jpdj3jEUPO3zJkJGhr
hWAo/Whpdd4NkRovyRLmVzVXI3EFoggEETqbOE93yk7edQzIK3JStLcCv3JnELgz+MNmEkV6gZlm
EdIxmT+tMe2xZul0o/3Y2CRgpx5MUZBwG1LagbYt7Fcr1MzRrAjMBVmzG+lm9wDzwLqF80kiOuqt
9rBk6XNISAefuM6uljHJdT4n5qexTPljPaSc9L1xsXdpa+IHaRbCr6bGuW8Q/W7KOl72erKeJGkI
IHzMVd+HA46TflcudR/4jQlYTp9i7Epgsn4w77m54wYb85lDY0sYT1VG4z+ehnOphvBu7BEurBQ9
/bduKeSm1gRAfY8ozwaCXgtS2hjEUl0vzamTBCWgFibmKYsu/YL2tjNHuY5HazHXbjWBB0c7ve7J
8hP0EEsbvJpNat0Y4quwyLVHaX2qLDE8CJnoLXgCEnmJ2zkqB4O77egrxDPwHRhWPxK7qT6Wxsh2
MnST17D07KCb7IROY2O98a7RCPSZupRE0ez8yVt2sVPHAIBEetQeHV7XYedszFnzXNT+fkh6Yki7
lHIQD+SmjUg0rC0FPHpW2IqazDiT3AiAULN4k3J0beSvLKaPgJFrbp+9ziVlT8Y1wuZ8foT25p1q
xqMnd3HTk0FWWWDnXfitXPz5jYkpnhIzl49TpPWuVDZ7YWymO7vBgIWOdyEQFYHRoCHqkGJqHJLY
rxj8Rmy38fxgEC2ymTK4MXR2usDg096N0axOeJzVXWj1KsCmZjybuC+vCLQs/ECjd2f7UR8Yfhqd
B7JdAgMJERS+9LMudPocq4KWIRrfPbdooPv2h1coUNmgfYgVbW6rix/HMlshI6CR6jrzoYXdYonm
WPf36kYWb53yfswTps/15HVrWTthIDA1nS3tVI/dkqhPlejizb2BaoWwX+fQVnSyUdaWmmG+Gge6
1ZjfsY3aPjJC2ymwE5LwDHSy2dqusDYIghCWiEY/CTUQkTMtuT9s3VrFB81kjp4qKQW5BG6w2AU3
ftg1ot5MpWMfEI8th9Izvnl25z54/DyyKCGuMFzy85LoT6c1EdpkDfJZgk3Kp7LpLwJ1sdsCCfSa
Y5Qt0YPKfGczzQPUecgIDFW4zpGbkPZtzWAfXPvcRnUwEA3HQS3cglAfSciQM9m1Qvr3o/T7+65r
oxdKTGzs+Efl1kdBQi+7HZqLbfnhq9u48rEoOuOWSVAfkeJN52ma2s9WJUaBrzWOn8eSNyMMW31Z
k+GTUhiXxyyB/2nG/JwMPbFpYGPIVcKhbwtgxYK2OVnzB4HB7l0xtOQJRlaF0s93y8e6dMsDOrrh
Kx8nTAupJeoT1Jhh1xJbBE9GJvJFEFGEvSvzPUA77NcD7R+Y/Q6eVnusbbbKXofPdi17vnxM7Yyn
i2g3a4tpaBtqh5FajKISU1b+Wil/gqux5NGmafMOVz+DkjAAAB8j1K5S/wIyYdiamRg3IFfticVG
qPdIswW5dZi/Yzp3IXUKlNQZOaCrcSz8s09WIm/eAPHIeYass6EWmqwcRJv3U3bLZO6atr6v5xjx
6AAryVl+2G76rYd0t43jmSkMka77vl9AIpk80EuhbyE/eLwxrtwkI4gibtuNYZKYxqh+0bcWERjo
wtGbmizCO9Nq5JYYvHjrkgl4RH1RgksvwukwxOM2LKxNWmAxY3dFugS2ktSPuUxPYkrqV3IDT334
udjuozeaz403fEiE5N4cfVdZ+xabNsGvkSiuejC8fWuUkCHIl7/LBy/rNnmVgEY1JLj9inzWC5m6
DYIJsuGLXPSSVpTJOclT5dlXTfdEtk22kZVnMYCtzf6SlQlYLIJKFXiVEiIWb6F/0KGKrrk/PYX4
rveEGJbv02IgVmhGw9rTWhq/0Dh0T+iN9I7JngjKunb3BFdFeOzZ9j6R88FNK2RIFitpNGFp1Tue
ZA8De1NdPXBW+8GQ0XtZwcBrJBnWThWV0zryj1aZ1Vcno+GCzTDR6EKTmpjYcnzFM8em44H9h2IT
4eN1KoKcJjw1QFdCJ/nFz5RB3hRLjYNGgOzgGBPbsMZwKGfEYAac/1uSeX2Ch2xarUFj+sXdYMcC
popTuVssoS4RNQZKNJJALHRlpiA4wPeeCG6gYHBpGr7EkErfKdiNEy2Katcg3ubh7n3yJgVm3XC5
ynRkHlyUnx1Nx+1kdcYHz7AZzNYY7rPeWx7EYIAmItaCY3DfVAfEUuJsxAStr4ypyc458ov7hsMH
Zp8Mr4/Mq91NRrxJLFueisjDSWkczaKF6dlHCY57HT/hNKmeFmUJNHndfGUCi1ik8J0rwGnjO/NA
/xGivnk2XVA2/Mro520p/F5EVfzUj4UmAU1m8tSkjKNJH/Zf3KXrnt3Mz/xN3yU/WVjySzyM08to
zEkKkSCrthJ20/dxLjWfIc72McYcArCT6CKXSKNYnKpjlaIEqKO+uySSsCIwb9G3pO7De1AAJQ8Q
vZcRlfWp4MD2rfATeHANaJkdZ566BkJii8ArsNPowYWjR5chuaczOLxCk5s/cVUUxwpDiL8CIdJe
8bK7tFOWZt6XnNdOaECcr1FqkyFjWiZXi1v1qr10LuFtjKZ5UC71cQyxVe6zhqbsqiSheqtTr9wz
bk2/tWiD3nVqGwwaDQYHq0ovhr/hcJ6+9FL5G9ObZWAXgtxqtygobLyoMO50PMQXgXU2kGjKyckA
QymY0VEGxs0D22SKQGvJEeMVOoL84M2vAJnLF0Hm+9oD87QBpQKAVZfdJXNvwBKs/StvyPp9zUcQ
q9qry1/81XbWo51ztMxmzx1BpJD+SW3lqUcRg3h1m5RTCPBd2CyYwV9kJ2mYGkzxV/yzxiMaTsGw
DOa9JEKF8p4DD4NnMXyoOCQ4VuFjRVSqyAGuSngkj1Ycd7tcWxx2xTL3+lTZhLg00fzIB6WFXjcT
om3sfjs29Xk3uU6xzyxhMB0Ow/YXaYI5pTWdwxI1YkHsG4WBGk/+jBYO7JR0501+E8BvOEkLcY+9
ofNOcnbIPJqUeuuLqdjXC+CRfLH8fSISPa+KoYJJxAk/rXjaVQ3OoirG+06PGHMQ2/QTZrbEj7ek
fdUbODEcbt3Fq4O5bWbzjvYeo1MnUQyqvCpdUBFocZi0qsgI9dsXvPTperwhJUbtUqcJb/q11D4O
NGrv8biQv/hDyRopTp2zRaIKYPk3xsG6Q6ixfDOBcPwChgmXYlHik4+u3/twbBUMoLo7shWyDPDd
2IiHCeBrLsqL5ktbIWnH0L/k20ENxh3dsIj1nKwccjUtUr11WNX3yeAblwqewHdKS8pFd9TeD4Id
M7rrLNzfNP5SQpKt8ZR2sUemJEFLsLhGpwZT6MNequ3wjZESz9WQJxR6SfV0yxm6Q5scZVvhWT9y
QmdBFOCN7kgPr+ln7tJhOWZ4JrjYtMBW5SIiaLRu/jz1U7e1jDo61UBC7jMFSgklXd+4q36AXTkz
wT5AFzeDWiRNFxRIrL9ZqTPsU7av1ygj8JUVHq0bn0S2x2ZJs4+K49It9r7b86hGkEh6+VC3qcAG
SPCTR56vYBzfTWjO1tM0h+1GuaQX2YT7nVMpKQyohn+YSnuEPC0RSZXTVyuHr6YVRKuQ40yEjDxY
qOw3XmXZW3tkCa1U2b82dRQdYdr4d6kdJV+DWwANWapkvtDZYmcoOFjjaDBdtCO4UoK6QYy8TLX4
IiwKkDWztV8QJ8b25+0lIAsgAfUfp9iOVeCYAwCkZUgo7R3GmeCEYFujrx6stX1T91VzSAm+vKqG
MPV1tow/EsilxFR4U3c/he7DEHfq3LEGKz5WuEm6CeEbwon+NHR6OTSjjddSz+8Gv8VZmQKcAoVJ
tgNRgd+EJYKk73n57vX04aIdJNR3t/HGe0O71hvIKT452zDqQygNzLjgSZaF9crutEahoRcQA0AA
hMTPwFkGn2qeeRstlzNEU30iMGAAUK3rzzmfaLcVPUKvmlpXTCm5AXrsSFErEUtVHpmCnpC4SDjS
RmiTfRND7sSW3GXmhGRnEbvKaPNN0ThVu4p6syY5RpRbPCfuoXLNyFix0sknfO7OT1oZN59q6hHJ
ASz5sMj2sQib+EGa9AV90RIkBZ/gHIJE7VLuQ/LG4XF6HhoavnGU5otpM3T1UPr0sX+qBv9tFJb7
Gi+Oc8zmpl5n3iJpzRbTRrH3HgGvWmdv6Inj4rjyNkgod4UqijWHgzowp2FcJwPoadv3x/M0wkCl
lyDmABsi07qS+uoKr427bhiHE+jW5GfULGzAOeJSSzFGg0JUvhSOyp4j2ERYViL3lXl9RUmUhKge
7Z44WS8CYJU7KfQyu+y8V+8Wg2PVuflEQLVPPZugmrVv+r8FdEptkcHajDfcts6Gco0jGX2+fQtm
HjlL4vmoCIVJ0Nqu0baEkGowu3DcmofvLKNo+R2cOD7OrpGjPTT/7sAU2ltuvOK62LaJ2z920jP2
Ocd7cnhoj9zcKCasJ1+N4prkc3rRVRUCXyqQ4FcN5ORROXeTTdbumAFx8/SSgqprqYFaaMBNmNYP
yVQ9gKawXuQUrsrG/J5Uzoef+5CCUMgnONAGHTiQ8Akiapx1N+dnBwrIPopi4xFKp7VG3ecdybtH
FNNmzyVQoJXExPtLS1M+uY1tP8O4DA9wT5dA6OEpRO3DIu2MjyMixX2fq+wysZOWfVEGLYSzR0RH
0RM2t2LXdo2zNQu6zDR0rfNY2qRiA4mFgIzNiWHIe+81BnjFXOwmCA1EPLi7niSJTRp3vzqqlc8Z
/D4Ommndz9jZJ4XcCD3+KgMTdTDMCnoozMSdGxN/gHKuAwFId4Ac7yV+7vp+C8A+sHTJd8ysKzDm
9qeNv/UUjWiKvL5ryPgm37MmNZYQPvpPOxt7/rZC+KnxRJteYKp7rW6e2S6rSSJTRC/A0cPe3jFa
rgND5yevQS1Si8BPy8tA3PJ74aNy9kS0w64mD3OJMazzcucK4WJdtfB/l24vauq7Ci/LqdGkW3Hg
ZXZQ7Ko4vVYCS0aMneQWMxejrsIJjVFkPtEAe8mg9EW14a4ZPKzNBBsSQuv6gAb3FEFqopaY8k+r
C5N1ZjXflyW6k5KqYhUlFeEN0oyKFbN9k+1AqG2tKIEWlRxcc26JtfI1poauZJLF0cMligzeNvkP
2PgxJ6OFU2WA+ySlSUk5oaQ/fcfa5pyKgYhhq3Io2vtpG7Hmbgw3yoZNnqgfVVHaT6QZkAsbxSbS
bYRlzhZMbYfjea5tei1VfFQiIXCCQAL13gxSRB8h/4HHs6nJSIUI8WzZbkKthUoXdeEQZDy39Zpa
OliwOvlbBhS0MppkvqJgDZ90jZM86f3K37loWyFCbCJPm0etzIQB5jCO8x7xXPIRIvFeU/lySzWJ
rNJnQbYiI0dpxf5HlIQsxFJZ7trQGMFOTkJ9ApPGkfC6/TS7+pGrrAPj7JQM3J75CAPa9C5Xw7Je
smlaE/FMT9RBcg1IZKUdOGG39dR38F02yWM6DtlT3xGrsWbdIEguJaUW2nMJdMBJHPcde0V/S1VR
nxlkVfwcfo/F3+fc3FLXrc1qyrfL0mEk0LMkFEGx3efkHDHWiQaqxbBGXeKJ5o1GcQNZCbYC3jT3
6DqKHj6wO6TjRO8u+QUCDgkwtb63iEchUfgjxtzNGx3vCXJYRRXSdRGd2rQTT7a8hc3YURldFQeS
M3dcTI5MqqmIQXK1EYT+WX6iJAT3Npv1PocsynRp1rjE0dIW/vchGh6Vnt7gUkwdEb4cM1KiPw4T
GTERBgjM7011ISXOXzsNNzpCwhmHpHkT2cj+kb27ZIfM6JKleV0ElAFUqp2wcfDny1B8LYPK141t
tQiNY9JKYmvVuSE1kz3gkkHHQgyu347Ej5bdSwQwBk6vRZM6V/qSImAw8uzcWoKg3smVG+nFNCna
KgzfqBcKsL3S1Rs3s5bDUFnd90SmbbFunHk6LV0LqwFDTcrBN2EsrMljJXAhYsmLCRMDkpNG/n42
ZL8xKHVM1p+iuhh5qZ70SFA20d8lmALBcESl720kbhmDrLj0VqdzUikcH+G0vM0uVVuxZpRFZ8Ph
ZrnHx/I2jtK6Rigx8SV31vydELps33M6PgPDc95mvUiaX4z1OBItCm3p7BvnCQQH6k6Xy4AeTJAT
3UbhvUVr6Ce1KVUI0O1LAuufRgXXjyspYlcGoZL5CyUcUEg45Sh+12MhcYX6gnlBO2QvRUe6bl+P
JCGMrx1eFq5g9MIAeVdLz93nzJKCfiHtxphnwG+qUfS4UwEDgJEi60ry0lVwT22vpjIZuNFWOQbI
X+WSXGoNGsBO5p1rNiSPYUBDscyWTSN/vYA1OOEFDGKT9KAWpU2/ss062vpzYVLjo4ZxNrZKfuCp
VTWixnrcF9Sfb0bp01t1bH1Qqak/8QJDAp1MbpAxIaB5VWh/eMqVJFBIyy4jLAdRrL8s7p0be8WL
OTlts+tp1vlrw44W3perV0PpRFdIbJfOxdrVDnVyZHLCyMEs8v3U+DnMOqPH4GQX4/K4kIGwR3g2
thuTxJG9lxkEBZXwhzitpOkb8vzk5yIbSfyaNJ+cGqYG58I6OanFZglT7vDQZYzNBjOkkKtMccoT
s6Zk0pV9aEwwK2vgltmFoCDjOMygzRih1QTkxPE0t+CjwPxyFDPtzdhxydfC7F+zFrek5y1ekDhD
sxs9mXKsMw+Oi8sFSIbaEXmyIDN3OvNMBVet4oap4rBBEn0t6882TcRXhfV63bi9uMtuJ95xMZNH
9HrVxcK+C7clRxy8LA6+7dR68GkHvdrQUXFuCQWVZimp91R3U6iba5VV09pOU9at0szu0DkR0uIO
nJ3xJJ1Ycac1plRv27NKk3GTMfevSDdZZTqU33LaDYCg3X5TZ368KRPLIaQGb2QmK/UTQpBLSPhS
3Wg1KWknPTph1Pq37Pi4Hzf0kKyNQaYIFGPRvTUIyp8k9+c1riW3UoSNe7SX6lEh1VpVzKHW7Dwt
mJ1O0aAa7INBaA7dlGxONvjUgOKBItkB9O6+6ZC1rjIsBvpjibKNBGqIV6tC9DG5CKVkshS55J24
VfzTRkf7jqUxuceYp0kByUjHRai4qlKQaR5RB2vTiByuVI7pvrTmUyw8tpyoGvh28B54H2IU76U3
f0WDa52Vbz1wQ9Gtp5u0LvIufYixHvWbPm1ulQOgmOniL4yudzVVb7+rWDzjddy0w57bWnN8tGiZ
joWH2xPL6YurjRYzoJEMxqbyYZKtBVcWycDi35WDDPfKLZqfZkQ0ED330LW6ey0KgiKNCY5MJoaG
LKubMz4GXnCNaBY9cXcl37Kylm+jCV3GcdsoiISKtmEVLvdOWeE6dnvqS2yrjJ1zabyhuuxessWk
MeUVeOPSRd7MdiZ2Qc+Jvvxo8TbowzOiTZf5SRPWdke4b7Flt8gDx23aYzlhE1stxmAyfpH/VSX3
68kq9UmkVF9mlOdHNUfyIDofLT17CBzg3Ju3rT0sFxotJHYBdfrIosh5tVoO2iVF0r4VcUsfltyG
KSEHRXZOkJtT/yl8bQJoMEO5cs2RCLFYJnegsacH7sicI7XdvFfOkP4kRpNeehwtT65rDiOmt56m
zsz4GAXDhq7xCn0jf2Z0SZ5nMpBgwrhQC9fG0LVPcirai51VGre6Vw7HjvQ3tEti7ANsOcleJzET
dDz9D7OFj5UaosAeLeM8qJ0OjYrE1uT6qfscDvj84rriIIIv4NjkAIAsn0evjlqGmN6Sv8RNgYQE
py9T0OosKvHiluLLQtr5XNSYVaveDreimpLbqbYa1nZCvrdohvuZXIpn/GfDoyBuiVCT60irdWti
envLKqd9UNKa3gS5YkGKEOVkVYm37t2wf2NZeXMg2Z9ncTsfjEV2sTLbPJV5a+zyiJykiDwpbLZD
9jkMYbvVo2msm2JIKFUMVgcEVntqwwQfSG12xOC5tjrkbqt3AybC9yLSDR7reTF/FpbgPNbe4o9y
zsmn/8XeefRYjqRZ9q80aj1MUBpJoKsXT0vXIjw2hIsIoxZm1L++D1OgM2sG1ShgZtHAILcZHuHP
ncbP7nfvuZAB5Ya6GHRZ8sEbLfwZuGtnU6WwWCPKLuBoAuRf1ALdR7R75fjdiTAEnFthWd+AckBI
D/hXASlICusesTU5Q9N2IHi3KV+VMHNVm9lRdrlzV/tExgvYZhsY83RaWUgaafkTGuBOjLwz8oh6
ZcZoWByT4zarKIVlHi0A2EagGotAvgVx/IVL6UeA2rqmI2uXRNZu9LGoNVpQ0NXQti0yyGPC2Jeg
DlYFuc06m9xNXPQgfOVl8KuXsePYGWd/M+YshgxrMtkbx1se2XVnuZs+8a1j3i9949YBxxCB+D4+
TJBU196Q4EBgK0RF0MgiK6DKti60CXDJOMyEPHLHPdAhe3Eb1O8J+ssDUpdLmmskyNlK/Mj1nHCZ
7Lr0u0+kYmfQH3AFIJk9ksIVT17JjbGaE6TworL2/2teimgUq/stKX75bsSxe+UKbO4gKGT7Uif6
+Vc/4/9t0t//oH5P18Jc+ydT55JL+bffAEE378WPv//t+h6TBNFxq/4C+fn9z/0O+DF/oXMB3yw4
PpQ8uiz/yIL49i9AaizTxF6IxxAE3X9lQexfmD1MAcLHdkLfFfyh/wL8AP6D8CN+5QZZwb+UBbFM
b7Hx/9nOLdzAdbFyMyoIAib/WGhsYywfW9ugfIs+i/6AEp5sYEyKFiwuEYOs5VBtCUQ6tDr087Lh
6CH3WtK0zqHhG0Sn/ZT0Nbzm6lsxoXTdwMta/o9S45BpBIm6ZHaO/sjmElNhNFLgApQOkoHBnebe
U0nyajCnykdW+UN1TyEKDSy8L9psjYpNvFuVIrJB4w4K2GlcEyJuZ8EtUfSYGVdhgfCyCunB4v1A
YQayolfKO7o6rJ9WWrkw34WNpSzrwmOTNcaDnYHQJ0zK/WkDFtbFnpNYTXY7qHq4oHMU5HFzU/MN
qOHU0vcUbJRX9dFNVEzczdmUmtkDdNVvKOE0o7MbAEXa+GTw1kMkgPskMdAR7GpueuEaYZHsCnTM
3iOjSWtT9aTOKUyiThBsUCF2SrWsUyab3TgeyTQBys1OYisTqCSigQ/C+mSSO8w1fX7AvDVkJzXW
HRdnqUm7C3+RdSYd5ryXAa/c262V4TY03Q67phdv2jSQqwEyLMtPDNWWCuL70ZLsACzjk70wFRwa
ZHK3ycICZTocdLuqOkH6z82TV76a2MleqrvIM4Lq6OX1QCKR5o5gJ3DNPeBzmuW1lBFXTZF3brii
dxBPE1A3Y9yRhoVnDHbWm6+YMOAdSp/9FxwD5vgDidP0lVfN0O27Wka4FRVxW2L1OAY2bKO9u3Ic
LTRUoKrlJTBbCiv6EBvrikIf6+C1oVus9ZRk4dEEklifQYAkiHaC+MWWrXF5sNlutBvLwb20lST7
203bO9O00g79g7spy/r8aCKnTtu4oJl3G/uYorjy1yOEx9gAHTU67ge+luYZ8Ct7IqnUV6Uja2QB
S5n5yiyiiQIjBSkRoagKuROY3VHSliZXDW3Nak3wibiDgZJ4WopBP+rQ6sYDszWU33iUmvtDaPMT
m+DJn5yhJdae1Cq7tEzd9yrx73y6Up617gjxtRG7KdlZ8SkYBt/ENVjUr0GZWg+Mz/o7ViNxDr3s
0Fd2i/LCX20/snxEZWGP0tpPiSJPtLJMZqJ1hzPxkdjw/FXExXztPVMN6xxWrHWrmElo9Kkye9ja
uMh63lCyuNJNw4WHll3A8BTDF2+tMTe3DEhmg8GwJj4emVAOqN1z3KdmimtQezY+CST+wGm3GNy8
C07+2NvUEtmNbaghrXPncCastCxcki1Wx40srib067RIvrdhRaCIqC6/7RZdYliMSNxuKkQq7stm
9GLMebSffXYkxUgrS14bbHRUTHkLsc3XsOexa3Qa0KfUqOJtyiXPDTN9eytRGNauW1Tn0sz7J43Z
D1TOlHMWYH44Ja7r3KnQI9jshk566PqqwB1s5az9mJKLAxwk95mwpj7raVjcGnYcblmZ59E9vS/s
Yn0n7qN9OIGP6GwZf7AYYlmZctvtGbQtUE7UeT8lwnSODBQubOy8pFYlFoODj8AX+RcWJ3Vy1Izt
kSL7+aUDFfBJAU0f7vrcGeWetWJQw4/2JVaPocfWIIebuKlAWdMnDZJRVvnwWA8Y5GgNXvzDcV72
eq3CorFOgqvzqadLtduP5N8oFZnJe20yIlmIC1ASzLVnspTvkYFvqaatGK0T47slI798DlIo+5th
5EFBYgnNDWwfbwF08E77LIzJWeUc+ntPDfx6xq9zYpgfbUfCmxRuunWTTO3CLsaYqwNi1mGBS6YC
6bCARJPmINwlIa5Jb3DsZ7I9gWMMy6eKygh3bWEc3/ZuEz0Uk4EVa8r4RAUxZCKy9EUM25w7873Z
UT226kybC3Hge65xdmc7fRd9VPUHmZhddnWdaF4HkiNnzeqk2NaE2QXAGNXd4eeWT1bAMbfp5Wi1
nBcJC1PLa/hNDD32TCTzwuE5hNU6c15ZoOc0n3yyBI7FfT42ho2Fk2UYxDI29htiCvxDbC+uH5IG
xNmas4Ey3LhOBHZESLXchwIbfSIsEgFAguaEteUn4zlrSdjzyzwbx6605BGydg1JiPlAH2zWqHTH
NF54KNkxfokxbF5Bblb3Rt8ybo5NMn9mOFjxB5E18Hg/dEFFwxpWmjXpnflId2aWHTTuEISAZGom
SN3swFBBlg+hpCHKHLIivaMceGJAwCj3znKGF11QlvXTRAHRtTLrwd0APydF4GYcrYgaDsKML4ub
UVR4BoK4fxmmKmSDJkNnBzhsBrJqBiC+YPn31yycp6d+NgPF7i7jdUT3aYMNX3TBD39wpwPJNusm
QoBZ/CNExhhzs6FZlYOcK0QTLLFWMsbRLVr7OB1clK6Q/lC6ADF50PtpgM95E97k3RPcOsMfSqip
aouHDrsJoKy5jTcRHKa9wyG3iWRvHFIQ4Wzfxw/aKPt1UnNm2qbOnO+eApewllDIXtukY79bU34T
u2P1ntF1EFPE02dHc0TG5IzBBpDI9HHiJrfOBzonNmQKKGZhF/ZA+YFPztQ37X3vEPErJF2NOU4O
dsByuZRECy+Jkj50QTx0a7/xMqiB0XwyGrqx6Zq0xYObG0X2PcaEexF9NrCjwwo8FmYXcsaBiorr
wWFbxD8aOw0dHyt61mnLjuVwNmIQUGuTlfSW1OLkE21I/Jse3z314678cgcRv9FH+WRYvFhJP0hs
u37P8iYZ4cwXsViwT75fcz3nLFruXbPdH1k/io+GDL+5t8rcNk59mh4td/L2II+De9fGNuFlifWU
C6f+jiFbI4ylTf+T8GY5MBtkdnEr2pidYJwOhth59pwhCQZo36Y1VBaGtGz8kLYMv+iTSvqXKhrK
pSTDqr4azzHV/RDZpCWpffRhMRSAWS9JaPExSgm3aeX2Uf3lSIR6xhs77o+RmeOHNhjnJlykVRGe
SrrWHhswjT2GbqN4HEJdOUc878X84KjmoUeGqk6eavol6zRM91BaaQNlEXeFwZQcEm/SJu23iltv
zCurzduiXvtuPFbE/inhXDGIt3fJrOJjEUikktRIDlHIos503XggwTJUOJtHSuwryCWhmUve5cwg
Xwj947NX+vEWmLANO0QSPKQL7sUwqH5fsa0I2mNQ5qJ8ZxlH5zAHbfiEXcv96no6QDDkqfK2C3Xz
0o05hVQ4WK2Tk035Rdto0Ou8kdarbbrWC7KQcaNbD29A3ku4XmzgKcXDs5NvTRvbAtVyBMCcrHY/
eUHmG15ZAb3yIB5f20i/26qJwLH0OUVd0s7qn3XWNK9W4uFessLYh0oQdQwcRjKVL43s5NNQZYvn
RRANNpkXH4eGXjLYU2hF32izpNi4mfPhEyIJXgqDAigrSrYsU6d35DbB2jR+TDMbicp2OPkpb3DC
U+OwtjuYbAPmS2bl2bQr8rJLb5IKRWcTDgaWLsOliOhg11rQFeCAUOLM82ltMq0ykLuk6WooO40z
UqUdtE8ay5sHLUzaj0maWQktLLzK4ymrH9SkJb6rekYTnkljZeT5u005d91dEiTuOtSEdU1oITub
xOsuyd0frhC2XtelcpgbgxQfRKqn+LWgaRSSiV1HMa1kiolwdkzrWjtNd+cO44YUQo13sEu2EEPH
k1mEuHRMode9ZknfDVjpO3AfEdg5H2kIEot304xh+zCQL95L206+1Xy27IsWR4cjyqzCTBUaYpMV
CFM4gWLQ1FgKjbe4FZ1xYm1YAm92Cv8ZmCJoITawlrMuVF99mnngY7HiRXsjYVLBhPM1QooO8ZDS
iRnl1A2FKT9Cb35zEjo0bf4Vgr6lmAbLgM+73rhOrfeuo8bvjS2pPUyszL1NYsd8YsDlhKVrk2Gd
1pxT5FTjjyJqpp3AcnQkhTYnhx7w3JVLQxCdmrS2P1IczJvc4jpDeDGeabmkK1L9uqj8PlIOScK6
dF2bn2K0LfImwZrPT6ylu9DJ0i0Ps8V2j77ADx5fcdFZTsEU7Wq83dkrUGkRxzn8rzjfDYtdhhYi
r7i1TYahbUSlmXXS0K7EjhuxyTY2MVJuVVxvxJpL7rwP3cz+7lFF3KzntuP+igPfBRjTwdzmohSK
6VlFGuXHaJ0w3REfi7/6Rnm4iTvrjeL1penBU4es5pifMR/TVvKrwpa11ZZSFYogsZClK6zLTUlP
eYdVurCF/u4a2Eql33t7YakYJA1GQ9aWkMB2kELE/azaSp+aipbFjQ6jxbm70BsW92W66gaJzae3
JXONR8/jbVAH1GYjMIZfCUroo4PBPQ5DhDMvFSENh/ici3r2d46fmHv2O8EJUWxYBdDZjjXe5zu/
b8xNrYTAIQQoMt9OSUc+IxqslaM6nIBJmehPnGui3YV22CoQjiVrJCtuv+p27m9HlVbkA22THZlX
oTyv7HEy3912MDdI8tZPN3Pnhz7mBc80SrK3i8V9WiPgF3E0XKsee4RPJH+Vo7tPpBz7Q+aKT90x
8GRCApiyS/YsMbckuzH3Os2ZeHvhvM5zTK6BKcIuYK93IvnK+6Q4auLwOAECPu+UCXm08AkURn0q
gMVs8r6q70DK8gJtlfzOTIEblsNPPLrZu2kTAwYt5zHol0QeCC5tLbfyjpRFU2pUt+Yea7hac3Bu
qko7eyspffhy2FYj0LFHp84OcwkUbCW6jCLosS53aaGcR0UOgUBKYH5QyFWeKSsZ3jtVRxs3yopi
F7aTOR5yZGa55ZAcPudOdNgGMqtZU9EaLFkMhq7G5ntf94PRvHsZZXZbzJYeyWw6VNnLW9tMODin
l/1iHU1c9/s6uxsCZ7oRnssK1iMfcxnGnqkwGNr5x5RqePEZE+Tac4vgafKEuEx2na4FCSHuxDlw
hhrAmM0k/yM3RrVX4NWXlwlrad1ZuPBgKGnBIdqKtErhA3petC+qEAKFNe2bnApuzCgAfpwa8SPD
ifPMuAuWNMf+sR5/vXOMtdw02st+Blggjp6q5ocB4Ocb3mjxUFYTvlEq5PS6sV02hqWJoT7xOC5R
bvZelR8HW9Z7oFXiltZo0IDZSPuQ7VUlw45RuDunowOHVZZ36XPup53vNt8GTEAQPkoq5Tzfe8hD
t8Xmp8Z7OmQRjsy4COhLy741uWN+i8yC2vdOqRsapXAZw53FyLLIZ3rY1LTer5lovDsyhIJ9RpKc
apMMrzN1B2f0bwLGvLXb+O558myLQSqcN8SOm21JxJg7ck+TBlv3bc/LmFSWyXhH7e6Fgyrd8sgE
r6VBvfBKqqaBTAmp0rbk05SzcyM23I9PgjTVDiA2keEm7Lxb8N2BWMlUTNchN4YtJy7BLYe0NKDe
5oRBp7bPo5XW7RY17ThFsX4z0sB8Al+B5R7Gs36e+5BpT2bOazOm5t4vMpOf6mweasHPX5Wy3fo6
T+WpGQfGkCHGDUu4njlnzvyPsczfBS0b67Gi00sQXvvRT36053yoHqBWDYxDkXEDgDXAFD28tikv
1g7uxkbmLHf23rjU7ubjQ1zl/k1NSphENdcBTEIx15tVNHjJmbRQefRNFfwwW+eO3qBhrSlsYCCL
pjvhAooY4favgcVS245wko5GtY/HtD2KcUabmqpZvAi78N6wx64xrPMmoVn17MMf20/cN7bGxGB7
E43e9DEnufMMNdr8OagOGtkcenfdnOxBZc3tTW1M2XCNe5bTfK34QNvqZ8PaXm8NR48HRu/pZ0zL
3V2mPRsDPQY5+LmEA8xsMQ5O7JqDlpQGSIeYSWr2pM04DI1jnaXwUjCiD9296RQABz3aUOJ89f9k
YXBNPhWkh5/tv/8FF/Uf//75J3jUf/wPWisQyQ7/aXPA7Vei479sFH7/I79vFPxfXAEU10Wv5yqN
ev/HRiGwfnFN/vMs4nKkrwXQiz/oUvYvnCjL2sBnfGflwLLhj42C/wsXP0vwZ6zQdWgP+FfoUv6y
m/jrQiGAOQFl2nQChx2GtSwc/gQmgS7VBG5F81adV1RpVIWX02Q2GiZdugoijq/DXUfaGM6gB7fb
zovoYgkOigjd5JylKZ6bEV110yO6sOcmPbKybXwluDEHX+0JE6rraCWxvworqLcAKQKMIsmgTnQw
N9+IHeYbUPX5kQ4xHossJc1V9O221118aHDo3SYY2dtVI9s+3CBWMhwWqEiopCyYaV92FQ+5HeTu
ORkTXCYd4cxt1DnGdcBd36w4BLCzwj81fkS6U0QzSPl9JCFUIdMcgiuOpuRUdQApAYDO1SXwHPGq
zQAtk74VWuay2jfJTSQKhKTtdHJDs2v6krb52zCbyTVRyVOkZpQlWfS4dIR6py42Prs2tSOAYsWy
Is+vZpLae9LWemv6XPe5ScXHfjKQRnvz2Boq32Fnm7chH93W4rW1JoyL66OMhwfFWwDMVADCYczP
DN3JWursi1faMtCg2kSBl0Kn5jzCazN9BwciLjF1SDPipcE+MxFI53TqOM6JukU42Qy7M96xjpZd
xGYvOBvw2WvuDAbaZp5bzNT1OKRMhbEfPFtyNu8EVq+HkCtiyKUVAPMK+HFzmznjxJapoFK88mMq
E/FCdmdwP0DSTZLDt1XAghOXEuvjVaFSvz4PtZU764xZ1l0ZPhBdjl4Z3uleLoi9FmIYValueYJg
DXa6pqmGDpigSejuKZJkh9zobHD7pjcy1DYWMCP9Tn26vYs0XkWu5zgGq7zPHxoZBs9LheLWa4Px
Qjlvf9tafs6PkhAS6sIYME5iPuwfAwuH66pIHPu18wbxUtUWt916UNZ96IXiVtgu6ydPgYbtAO0e
ipBE5Xro+ukVW5L8oDMovdfcgbaQQiU1vMk0sYPmW+p36KgVM3Ou6NaEAfgQ+11woETGPIhMLhDw
osjXUdZXh6b2q2tu5y0rnEcbyhV7aMKzRvxSDc24rnCY3uDTbI4WgI230ed+6eEhYi6jEitAK2ih
fbMvod6xG+f7jLnkmjYGH5lBqQE+3oYEpucU+xzXEk81rK/9oBTW06k0WtqWlK14N9L5NK8NrpzE
6c3hByj/t5bA7SVtnPI6NOF4lPXA/SKd/ebQ6cIFTkp2rGTnBZ/etqLbVGsDxmgflWdqyFE9iZkn
PkjNxL8vk1y/WBT4gUvlwnvVoaW+jfZiTLBU3WYrP6jE2asxCRxhJenuCJZEcMul5nT6zlYycR41
LvWN9srqK18IrnJtNULUl4DffUwFVtMl1iuEg3E8xqnvWSuixTRBExjJzE9HRBF2n4q2oY03oSW0
fpWFq6HzgwLUO18eLaGfnrGYWBuva4tXyx7d4hRXCVwWmj9SboIe/Kqk45hGl3Kw6vhel79yxxj2
XagMytFc8dI14XCxnFbfUOJbPucK6g9iJDxLwN2j+eX7qb/X3LivaiGCAGuOdn2bRsC1ptm5raxx
+ijZXb3lOFnXvlrAZjxFnLC4BoO0rZ+GxGZdmZtQq8d17jbVl+zb6n4mx/kjNfR0yPxu/lIM84yR
Jl8YDcaS29yZ3XE/SsfTTwmKYYDTWAcSalAVjA8EA9Dmfa1HsUNImd2jTB1r05bc9UhlIlcdInvM
ok1BEDG/0q9S28eic7piu7iYu5WVyfkp7Vy7QMpwW/YjuBdj2LuuEnubZW+/DnSYXUePNKrypbOr
rRh/xoyBYoWIUu2ncKkoCCt+lLm8zXWRXxS9BmuMtOOIAoQZmas/z+ug61MnUlx+8JsH8q1jcUWO
Hp7JsctLSzcxFnhclt87xbezVhmPBKnnsWb30TXOGSRtMO8av8DkVuQ1qMGMktpiHSXF9Gm6oARW
fTaFH3GD74ygZTKUq9qPAdVPDb7MPUYaB/t+MU0TFiGPS0HGNPqgfZ9iS8yDfnyOBLvLjejoteQN
VpXJrV+Z6jwUwHaPKfuH41Db7nDNXXodHU/wFGijOLNTSw5DFAbhimwM1A6cVihdcfsA0bnd6VyZ
7007P7jo6Uv9W9Q9msQdypU0llVPm6rFMlf2lH6gyYp3Qn9mvsnqUbyqzuvCtStqGlMybubIk43A
oqOxVs+c2WmL9XXAgweS8tmz2uGxDSVCRdVP7aNwzPAMA5xQkmG7D5Zu3FdD077Jge2etAeb1kuh
+Q/DdJ3D3CUgIRBJAy+7gFs52S0PLHvQnDVmXrGQ7RyXJQQGSuHdJGA8FoI21c+rhnsWfjVFBm6P
f9b5yeA0dbvaAPdy74CjefZip1++Og1CGcUncp84lfOcjsizO98ULezbChliq2iTuzX8DkqW0dvh
a52HIFtRxACQAKd1Dh792bg0jQg6koiZ12Dyq8zbaBymDuHiNC1u9UiCaxv0On9DEzZvVcq1gVY1
mN1r1U8lM0RIXBE+f/fWYNa77ex5cbxFs7OW0tOPmgX6O/4RD0Gm036ypf2Xg8YsCD3Huc2tjesz
yPFCNacoNkx9EDUa1TqLO/1D5zHaVCEHGQATD13/UE1Lmk6xjMW9Te+oXsdmzIFNS72h12lb0DiA
SZA+DCT+pZzFqr+wz3jZ2i/76sTyi4ppd2g+8cDkh5r11meHN5BQ+QiZACyI4YED9IoZRHqTMjmk
pnzzIqkuQHb7VxJLtBoRW0mvvVU9BwMBBu65ibS2wA8xlSqdbtOiTzv8WOWXSc8pr7JIfZvLivLb
Zlk89YgXJHRYfaxi7jmrCC8uZwoCAYbqAO23zLrmjqvNzCMfUXK+yp2UnEbaNN0bAEjVrSTIVIvK
SXv4NsWFDQIps1K5NQJXnml5ks/dKOIfHcBLHmk6Napt1VUzwsBc8qu3NGpv5hbgEKdyp7mMawK6
WG9EuKH1fdm5ddELYl7JNT1G1cBIvKqbvMY4TwUebRl7BtJDZmZCr1SaljvukzV1hjNmnGxssQcE
RIwGgiawPNgobBIW0FCWSHm6pFHWvPc5T7CV2icZOBE4ThjeFVvhpwbO8BocSbFxLHd8CxuR52ut
zOZDstJK1nMcO59jQUY06qFnV/MbEuaPns0xrkjAnhp911oFi9dj5U6Bx5YPZ8c+Qn43ySjF836i
x3LaGq0yv1kub6PXZRFdYINxvDsk4+A40w6pto7K8+Yg2zq3yHd0JLO7sMw+aumNCKIcELhwK7yG
rAGMno0WPC7F62Ld8g44Ut1bP8CsG16iFnA0wpI9oMsxZeILPPe2jy2ggegyHQxNsRPGoRIuRGmH
w1MAGx0pCi7J3vGz4sO3GBLsJINHQqrH+KFco2DqBHP4wrJd3XMCmTYeCQdTfpZV+o41Z3hxTVwI
G9t3wrssLdWjaRHN20e4MGu2L2XzXSQY8jBKpqW1YUCb3oJgrD+xU/B0IF824ZkHj8EQcln1HopO
P9HE41w617HvitHSz4ETZPXWqTv0U0eKifcsnBfIG0a4d22wYPz2DGSZY7P7ctsJF+vi+TujwMEU
Myu/XiK3tMVz4jplv0k12opt2vEhzwtkZkP78tsC7V1DtiUMnHc5P8CWcEdLktOw3sNAdydLDPI6
4KgCDR8sI1jfSuaBYrYVw4ETOStmQlz04aQvU0RKc8UyjMXOjHYc7uPSLX5wSKTvKSaVax6YqbOZ
RuqR+MxIKuLnxrneWvHSxVxGEYuc6gUTZn/mYSUmlQzGuq8d62Q5aKwBnlYaHSjh4VQFDOUbtgV9
IIzILonUQYOeJ/mMh5rWgbDm0VY0snxg1EwvqvYI+flJMIJQ0cr6gNsFGsaM5ToxMsS0iXsja8R6
i8vkrID8YdlhA0A6MyceNJd3lS9Se90biPdUU3Kw1BVAdKWp/uCQJH9o4rkkxPqdjpj5Y8wXUl4N
vWPprEw/ahuSFQgn+djRUP2NambzMRkk9z+fd8hNX9fRsLfxybVrmNDY3XiwTHuH4wynT6LUmTSH
tx2LgXw7TR0AOCcyPY+sWnNKOPi+70PfCjDJ1QRAOj/0z5NEIV+Tw85fdEzB8zgzXICFyedFPtPx
F2tXhsUqCrYN1vQ9i6dZklsp47PE53cnrCg+5vwAnkKvzx85L5qLdPg2mIwgAfVZjCF44IU7zVP/
xCLnRJyKG5WVv/kpp+0YuvIR6tlv1lIEHPmjuvvNjPhv5CaXLvlW//1v/whjZOuB18Oj0dg0oUkv
ssafFYXA4YN10Pz3mbLS+3pA/HLxEdN7ZPmnZM6x95Rj/N/AGP+RJg3kFAO0A1AJDLKNP/Kvf6lN
Sm6O/GzcD7HML0wZ7R0mt2rjAIV/qmfV7biSiaMeQF3+yUT6f/h2/zcGJH8zsolFCMKl5NH9B3J2
7XmDnxd63kPTcxh1fLfHjCWMs5ocanFyWvW+/r8UV7awX/67lm7Tsjmt/6nJ9+ZdUtS9fKK/WX+P
X3//GwLa73/uN0ku9H6xba7teC192xa/stuHH7r9+99C5xfHgcMW2syxHr9RqGV/SHLil9D2EOpC
Lvvmbyz4P4DvHph4HMMB5RbC40v6/4okZ4cogn+W5OC/IsSwOmdPtpSJ24tk9ydJbg60bfZTWhyp
peCV4r8DsKImIoFxGbtTdEnyDgSnUTxXNVV7XkZgvzFHymJcz7+mgaaDUQf7lLbAxVRyVzqs1Nwy
eJZuEW5ygFLjquPNt56yeD1kbg/7xSO/yXZyM0DcftSEQ9a4B9UhiN23FA+arcV10ixdAy/BdZmS
xuqje3LENGkDlEOiVlgAo2d8PcFO9dQi+oV3QYsW7z42vH2fhVtd2RRlB+F85dVUkKSBEJQTL6et
Rh86IxjYT/Qse9NgR3KVbHDe4TMj+suoZvmbTiom6nC4b2IXyxmOEtvHKFtcis4CDmI/JIV3rlRN
Jq3D31/ZP7GXjSewlFBCFJH3vR2rx4TP9hYQU7XrZ6MGeZI884YhJD9cqPUQm7CtnUs68S0nTnaD
QWbfAKdclXVzdRjcme6qYp+M7WdtT/NN9ILrDRmtgRgVNwsCMaaEyWhf8C9t8qbD3LaZmgI3hBWU
P1sm7E0ITQZQ94atFvf89Ink5jGuC3ujqCvb8JJZIQhLeC3pwZi6e8P2+q3kMv7cJbN3ZG7YEtwY
8bpU26kG+oYKJA9FJePHslAP3Ik+KGrzV1K7+Q7CRsDNsXBvPUcxVnvwLtmn1+tJkqcMWjfCbhR4
R5ZN0xOsqwcnWxxzZNI7KFhsUs0cWONKa5YdrZHK21FcUYGfOVPb/ZyK8m5QBreFvr9K072NqW7P
MvEq8+kmT9nRtt0IgGRQBDL0kfQ9ETb5OshBncdkO3kT8L5O3+Co/pmVj1i5Wa5gXD+A+SG2XExU
RLNHG3viQVzbmxDUBxlTc1Xbzc0EZiVDHQOeC/IroEavmY6jNp+j4sXOsTnW0Ck3o1j+7vTYmAbG
p9p8ttFq18HUY67DJqXJVFEgV6AH75vIXGFIfIfnkZyZbH/maXhdzm8UJwq3mjunJSUDyhGb7YOa
Y+utV6BoKMFLti5NWY8ANneMR7Dj7cmH8F0o2Mwx4zQFiBBVCSrtQRp4n7XbdOdWZUmLF9oTd/B5
QMhFmpiOq4J3nEpQcruSG4wV4vmwVHfM0yh/hR9AgA4LXnIhr26ibFH7NvlKPmmfqye/qvroVOb0
NmW6WmNkre5i4fRH3y/z79kU+Y+zm8wMhBm1VHUpzjQ1hWeuX2LHAMlu1sKv2BnzeKWZtXiaabp9
wsjVnVKzLp65jZNI6m2wQ6qmo6eNeh+ESNzfuEO4xPXd+pL1wXBvdaVz41lzdwLDab3RbNltfVmN
uxE15rxUlR8VTtjbWVXxD8cdCdboYlJADjNyARWl3dcZS8wVV+BwoYywPedRAOa16nvzjvHcfMDS
0txYkW3B9K/i54kf1rUJPXXhV8W/OIhtl4KFBh1XKqFqtaiZNxBVb7gryk3cslFLuU+Xh38+BeDg
+cupTRUNuBPX8XkLQHdnlPuHCSTLEBIdPctjIGV+U8O/pP5K9/oG2bTcdBTNbWprYBiz8RlZQzZj
T8BU7o2G3Lpt90w+wtjlzgRHzU8JdrdAZjek3M2diEMu+G4i39qow32d0Od8B105PbdmQR+zIGna
hPNdLRZwTRTk10kuSbwGlSQakbvd0DsgYXCltTQ1T5P3pFSMYxEF71Z0Mkg3w9RFT/Uw2MY+pOiR
BYEPz2pD8VkTIpHHIQg3ckxASmHnrekd68e9WUhq3KmDqP6TvTNbbhzJsu0XIQ2jw/FKgoNEiqJm
hV5gCg2Y59Hx9XchMut2hLIqw9rsPt1us7SqrNIAigTc/Zyz99okwkX052skzBtnNooH+hLyW0tu
KuzAeauZ5He4i1OrQ+NiCcbhFEk1SE4/1jNByGhx1LBq7lWOeLfvrdtq6o5R1aCGd+W6KvVuNUwO
FmVKkblASIaUK13hcpvX7ogF34jyAx2W4RA05dGNefyRxzpb0GNb9IbmOmG6vaGdwfB7FOFbNDgj
lsfR3mphouEup/lUqoR6wsPL55L6eluRWOBXPapYIowBGTJdxiuI05WBitCPY+W4SCqS9hg7mnfV
OzSk8GWbxxCF8Cl1PP22ZIR3jlLLZPAfD92Bz3o6FpWIr0a9864MYXG/yzFq310y5Wwsp1b0QVMM
MFITTNtmeVKQ4YqDXJ4eUFwkKC5PVNbK/jIKJusEsGm6qeqYIAq9YH/G3n6qRrbKQjTta60wzFOu
2+02XZ5gwuH6S315qjkmF/fD8qTDyggvqsEat/WyDgDW8w4KJPahwjWwRpG03Ae1vEPumb3Ey2oy
L+vKvKww9rLWOMuq0y3rz7ysRED7mr2nVfpFKvGIFqFgyZq6Jl9sI/1FkubeRdURaJt1fURRKeRr
kpnqUAUIb6Cmumd8HSyMHt994AAi3oQrsaMmiIrwqIsz361d98wD1gbDv00cMz9dKxgsBeG6DT2E
lqE7twf+rXYLTou2hem4yUgEYDDB/aX/ma+N0AI5l2MfHk4Fbqi17tQgMGfXI2nQ9CYE2sboBcky
0QirJ9Oj/uPXpAS84VpOu30ZNkN4NDM9ZNLUxnaz6juwQhuLQLeRxw5+LpJfOusE6kWK7CfK6XCT
zw5q6clhLAcDQuQpj0FS7mTdWUAsBvNKhpNzM2musc08q900iW3ctnND086aKUZ3qAfRXWmNQXMo
SDCvQAIOvtOtYRgivQznBqakSNtAVuAENCQz8ZQuy+bznGVMNeaoMFhbMOx73GJGbRwbqzNv067m
fSlqsHUKPEiSjHSrSGnuzAKpudS3ids9dMNRAMLYhIFOlKlXXRH0rK/MTgvWnFExsTdAi3SXTpAR
qEXPHNLLKyuM1DbmCn1IXvC1j7CIxzejsGoAKtZaeso8B3o9nsqOZ1S0zffY/Q4L1LtUJqAY4SrT
h1U+HklatYlVQWISlTeMxW+T0vUwdcozya3BPspdgUmUsL2+tt1DJyaxz8qAlNjYuqSdeVumwO5E
bGDOYv9HO1W94a3Sls8oxNZC5lkTjWe284fZqOJPxx6ji7afB0BZ5XxIUiIMJ5hmj3CSlJ8Ytfr0
SoN7sA+RLtKX63SM+F7shv8rufizKPtdned6gvr+P2d6HV9TJBfv48dH9Uud9+fP/VnkufYfBlXc
kmdloW9wlirrzyIPJ6eug0vXbaQPfyky/iryDOMPV0d24VHLL2Jjm5fxV5En/zDxOpt8xaPjhqTj
v6W7WArJn2q8pUHCEcF1aTkKk0niIjH5ucZzGI1HjVXgxRjzSy9vdx7JyEfu4hdisgmkcXU/FbSH
IfLtAhkyCnb1R7q8+rFsh2dQ5t/6qjnRzIPbGA39vqu7M956d81fEftlr7EdV60NGip77iQsNbxe
z6ODn2RQlxY1LpEGdKvHChXc+LtkmF9bIj/+OCpYw1k0JfS07C9/XEKSVwd61fanPMGGQ4xy8Fk0
1VkX7vqnz/23zRfw43ySjpCErPEPYSNfYllCVkN3yHPb57AEXKhghdaOqkNujl7wny9lfc2gETYd
A4NhpbAc/sv8EjKiRDzmGrhJ9tfhjZKADOu8eALa1iAoMC6CAV5ShrXD12tR+e5AuagLmkFuWEe7
wBihj/SLyN/9xnfdE/d+RbLn7DtO8xxq44Ec21fiAm2noqYX5fdmyjGGWtG8msiaUjZZbIUTwyi2
9EsmT5z2W3gN3ZBOG1uPRz8KFIap+Vtdxy8WM81VlurOb97uH4fYX+3HtCUcbMmCtgnqtC+tiQBu
0aAszfNLKXcRAQdGziSgirptVeKfK5+rXLxioVybCNBQ4yCYHvL3TIt+03T7caFfXwg9f+zWeNRs
U1IB/Pr8KIb7YR460YajBKTmGjPUoLnPMmwbfzKyt6xPDzbz2zjLDk0/35eOuhkCJu5Q28AFeOaN
1ZO1OeGeduqdHbqvcxK+5MrYkptx+893jrm0AH9+sTRBJYuQbQqd8RdLyK8vtkik1NJuija6PpOA
wGjI1cd7dD93tSauqi6+b3umwZgf5onjcK0/ajhSVswZVhGdUtCa/mDM2KBQ8c+k5EVC3I9VY/+5
3/zHxu3fPl1eJyZEUwqbR8lhpfv1dTph7Yo4djXQCNldJYlOHnNOqTVow5HczBalO2rpEcqW6Gw2
/fllqOc7lTebnrPmP79pX7vIX16L/NJW1QVt6szNAtxexNJXzK08Y6UzzLCluWt/e7kfa9KXz8hD
p4dQj0/KNX+Udz813Vy86JBBOFdYSFHholVk7XSN3+cjd4V9Z4SZuZWKCOahJAyYJJP4LCJ1YevR
i6ssixFp0G5CJBGrwiueIbQh0fK2edLeowtND2YEOKUPvAnWe3zDuKpnSM9w35qPsmvtPbQQmhYG
NKtmMKkRSziqYX+g6EzWWuHkG9uujxyOIMswqeKE1bb7jvPIpnQAfFLa4CFoSBvvrPn8zx/Er4s5
PW1uCmHqAtyAMGiZfrkplIUJpsQp68+zvZntcJtUJ6zrmE9+k7D4bx4TOukWm6K0uZDlfNk2nFlA
Ewh4pq3EPcRD+kFDBqCWrCC1elbvQ/d5SqbxzgaZ2vXq1lLmt0DmLeOi4AXH2rpw2vfQnZF/p3uw
L/ddh/SwzHb//IbYf781f32dS//2p1uFABg3NKs63QQYTpQxbtvUTdZ6kj8HbNArMCKDH1UDg22I
OqtsKq6aiXaYrOrncM5hhI+zdkLGpm2mCQECFsfhiilV7kPCS2GbymAX1sK+nEWTPvZMWNcE8Z2G
knaXXfU0NrqBmbiJYbvwuLCgWeyDOs9WQU2giDaqboUmIGdO1hErYpdPU5e8BlFl8hyN6kU5/SOe
SMGwKxo+SfYkxZ7R/jagsDoUkNq3aZQ9/vN79vebiNMOIYQcrQz+0/nyNIOl4LhhkZMZOsGpo7h0
oFTHGBGCytz+86WMf3ctzhwuYgrLNhzjyz6NFp14DKv0/MGcrUvCAjA0VxZxHyp8jEaqsqyu6Vur
qzb8pLM+rmnb0Hf22GDHrmx8MBGCD8Vpzob3uxy75dq/rjKuZTk8tczIeJq+HvuyZDAw/KCeImXg
Ek6E62iHuX74zTvw9aTiUhYzesNLwzUM0/3yDjRmGvY04cNNgrReTu60V4ST+YFD2zaOSl+1/e0Y
VtUrzLeHBFOk01qbRC/ttWsDxKznnCyIJi6QgU3gK53omGko8xpM2r85UPy7VyqkzabIbWEa3pfF
pUssZMROHPhSlKwqcb4dEJ1ivI5Qd+jZSmB3APl9kGb3m/3l68DQdSWnGCnIbWNXdr4uNrRjurkE
1OPTIHxEqcwSg64Y27hVmLeD6tdxXv/mkn+LvF2uyahwGTCxw2Jz+XXh8JBf2C7dId+rMcCYaFpM
mlWXle2iaI052uf9G6S+B0Ycr4QrvpozkRCB9h24BOB5rSxPcio+E9e6MEpQq8n9P983P0aVv9yd
SIA433HAdfF/cnL/9fVNWm2UOlU9Yr0epkuzC5wAuxmPyzzChW3SOTvY3ETjZH4mTnTZz+KlLZsJ
Y0/wralnkPnCvjXH4TOJUD1MOkLWsl5paXweRbqropGtqgQCU5Vvgv1240KgHELNuyj5MmK48TJJ
iYwgDw0JQl9vU6f9ULl+3yv7m0HGHFkc26FJtzaz3c1gNelvPiH317KMzQ7NCGULPQzm1wYMkV/f
gSKOaUoZkeu3g3uP7+NmluUezRQQ/woVZrYoylonuqqmMFsbAf8P+JpVo7J204XtbdeMtzZaIDAi
plyjV1lPZsMGD/xD5vqzW9NVzCF8MmNhMtH+INqyeNdjuG1GAV8tT49uaI9+HASvJHCRXhTKO7xY
3wwzvqJx5aeZedEk7AbEIvijLkDXoPGMkqFCRF+fmj72B16ooefXWTYdpyQ5plnKvKMmrx2gimaB
sk6Kcdd14oq0th3SrXkzeakLQQdPrY17aDPR6ik13VjpI3O4DvCxIk54G9nt2pogQPClSyiVb2MT
XpfZszt7m7j7+Oeb8W+bLDAlQqd1l9JOtwAR/fpJ9KIICvSnnMfglM0MhcCk7GtrZcAL/nGl/8Eo
LENAtvvp7f4bCuvw2hTgsdLXX9onf/7UX+0T+YezrI/EjzMMpybgSfirfWL/oXs2NaAFDIvx4NJY
+Vf7RP6BmwXZB2dwmhuuxZf+ZVsxcLQsCzxfsfkXGjw/PEH/JSlpv/zvnyUmX7cNQbaoy1qFFo/f
RKfm15tDtI5WuR3ZWk7r7BXxzKwmn8xYt6SV+6gFb4Yy/aztrvnN+oBYg9/88xJJJUfV69DqI2mH
v8X89cph5FizmGnGC/h1HwF9Gso0mxbw6AwM0Ex9RloYwwizkDKBzpha1g0oc9FMpEpbfeI2Qqyd
4ldk/ptK+VxKVR4SE7UYbD1l5z56USy89GDl2c7qCW0zWLqt5QQkBDaksM1icC+1sAP01CKhYoqM
RTqDN7pi3Hk9hjDYhWW9odhk6pTKbeKBlei0iEZEXdyqPM/xyekboZk6QNqJYg5r7q2FARbdCr7P
k1Fqxjkj2/vkIuMHrj8lABRlco+fgusFamp3kyXyG+WUm7RKjomVtFeLSWY1ebMxM6XVFSOYNOaH
R3hPa+JiBoT3mv3QcaJo17hCw2tUYchJi9whu0cFK1PEtI8rhqdrs3OSlYVz8DHGqXMrnGHiqI33
LiRbxyD26EbREfaDsoueOz20wnWKIHCr5tQq19agyetRa7vPYKKZD6bWQzoeJp333lUjumw1soKF
DeLmiTxT/tXkHvMDOi23bVkH1G+2IsgnMwkBxBCkxp3UZXSg14i9mIyVI+AXeP+aI05TzGxdjzlT
bWBCOedag2fGwV4/xi1AiL6aivMUUset5zCCgzXX8CgJHMWdj5qs2JV2Px2HRHZbxP/0rsCabiGp
zYdiGqqHupBuD+yx1UKfw275aMLq8tmeJeEhKZ27XS8x05+xzVD9RXbKgSVTfYcVq6jztd1WHnMz
UJZ76l5s8yS5zY95ZuKHWgVLMDCoDhgY5BdIdc33AWkxx8L4cDTXgWhGCshmwCfCGHlsDYbwWuis
e5KO1g4poxd9O4DikEWZDLtw0GF9tahmiHVdpkFlWDmPjoJlvpkTJQJfDAUO9amTcsVwCu0+2kd1
EeQtAnXgTtVV30fdS12Y3EhprT+TkRB9BJ1bvfHOxLdtWnjXnJyw4tYKUs8mxh7+jGdkMVL1cch8
rLDsFSXscBZmz1U4ORlE5aUeSsnMtV8IQGsvBaKFaR3YA2LweEgIeIwsQ21M4G1byKnqzixn67Yw
JMisEfrKzDG9hoM3e8P0RsmPMD0Jx4pGkuG9tLKMnpqYd29jy6bEWpOlZIx6oXhELkkoX98b0wZG
xfSaM45+AEGEENAk7+C1jhOQe5WrkfBlNMLB6Zw0Ovzm2vjQ2ti4i7oqfxycJLgRk+U+F30GNSmy
sgA56whoIQwSGEC2MaA+7ekO3JWitjet6hexNym+OVBNkbZ+iy3D2saRxN0jGhzovphccxXSQJo3
kU4EPCN8/HTIE43VQD8BRcE8DLsojZrbZhxqeFGhnh1mbK0Gfjtib1cp2lWwJ9moXatKQRg3Upk+
QgdDcKljHwC7VriAJvSm0H2B3Wg/11oFoE9LXMVKaLqwkeKFAtUv8WpVIpOzlmfRGdOg04O7cogf
Ris43sSknz3ykZJ2VYkcnLisxCawRXMX9hadUs6LG8dy8psMGNVmhgkiVpWY6mfqOcSwE8vQtxEr
zguLOZ8oKUwaahbXAAkCeleDMjiETH3DqQIZgbNgwleijx3y5YlXqhH406PppQcvE09bo2dlWRiC
gCY6/KDhNKKafcz0Bjsd/r6kJWPdM6s9eEnzW9y1Ax2gHrvzRjc0+vzgXpKrxDP7s+bI6kGqCS5/
i4xCboDi2M8j4QXvdTgD08mjhRgc6wREMYZrQuIms2h2ADBRwl4YgYbyiTIzPeE00KNzqYdjtMFe
al2WgwijXZtZHUM0bWnKqd7g6WpKQFU+hhbtFRn+xNQuDJoWtXIRbNsCJPxqbF2CTSzE/mjA5pDA
eKvQ7DU3TgPyDm0+SnIU4kAeRyK1CDRSzkoohwmDhH9Jh64hXK9pq5wfkfOlx4F0XZkyuOJOal5c
whWvtLRxH2E355cDIu7DnOgsxHorsj2NNHbQtOjVUy4NFr1QxuPJ7lJZbHJ4ZQ8zUD2oRWlEKWI5
tvteYqW7m1JzMWjoAvEa9FliEHu3+VT9EN00SGejdUyc8WbQvfEkUcRu+UOHtUVy6FPBCJe8SFnG
62SZWoYUyxAqi/mQm9CBsIu0B5dHb2Pxyl9JvDz1YxSseoZHajVz/PoeBk52soO+HTc9oFxwvNYi
qTMRBuj7ALfNuEp7GbzqoXJRzYsuVcdSKAbSoK6iJ5J48eOAp1roXNMkyTalh02kfKSerdkS9yy/
1XlqTLEL9Ul9K9mfj8IMJ+RLiFm+5f3kcRZuCfqkUEbnz7zXjXUEVQaCjValDJlx1zcvY+90Z6I5
BzzqgXnW3ZZESoVmWwbx/ODwIL0B0Q1I6CBQCpFOtjMh2GNjKAnrQDTVNe8zlH3gD3WLrMmDfI6O
qxXmTYyQ6a4sjf6i1800O2JZd785fRR9wrLJI0QZNR5dMD6SNy6JZtAnYJJM+2KebIIqMcfIZ2VU
4pXdJb5h9hYh/CZ4iER0s2/mzC+7iuxdbBmpe62Dqqhh3OBcg3lcEPIFJ4ypD2Ymf7KylocAPfjU
aslrbXrBqRzKJ0LSQKkjpoBOZZTU88B6thwMULf0neYOBxXZizfXisZ1DdNErPPATrZYYokkRU1P
ts5Ci+wrDTpfbsq32uysQxEJDBWTa4QNxCe4brWmCSwBxrd64U6mEwRK+FReRgI9t9nGM1siVw2T
Q8LK7t3uE5xFUq/qngERaD1H3uqWCINtPyykS0msVutHcGB4Oi1QhKtxtBpummGROeoyAe8F6kwr
D/1g209jV3NH5aTRcRDCQLSmHW3Q+tRRrctZsl2ywRufTUq4D+t0Fj7HTUEKiNbb0zWtfsCdusqH
TRQrEliI4mJGDpVTXcZ1rH0P4qaXK3xtiG1S8sPXlZN2zJYW8ywSA+0l1EQp1larktdptFgF/uS6
GiT03RWyIg4zHNDgs1HN48OYInxZqx+4URVY8EW4BcCQ4uRbJPiWbt3qP0Cl2SiAliIUr5t1D9X8
ohOm+07kPUE7SBYXWYcPcs5bWwvt1CEU8omGxBJnOXNia4IImBNxi6tBVw3xdRPTKK8gnX7VgVBV
C0uVuVjRIdsfbc1cJd4sV2En860da3AMg5gA77niYhUU1n7hsYYCMmtuDUDHEXbm8VTsQ2iTCakZ
0gZSo2mbMS/k1mybbLOYHdhyh+AMIgYei0tswFY2+Zs3m8YTd6L1OWKu2cD0QDvaIGU4u2BDjkk0
jYSIJ5l7OxsqLjfIhKI7TRn5ldmPvH88FI+TPbJcZRb58TvZJuopsGV7jwQBKC0C0Un5PaBZY2Ug
Dv0Ecd+/2XgrifT5wbQtrUBffF2G/LRkC6JmBjR9b1eqZIttTftqbC1GZqZGTndochdiFhqLyDd6
NX7GGnEo1VzDWJtZVFZVEVQ9cCsFZTcoQqxZQddN5p6p1SR9lU7q0uZG5NC7MHqBtYBRSSNyv/FJ
WhD5g6LOTjmn+dwHI4gH3mmyZhMaIr6DPoZqQ80kJrm0KwgvnVHp1I27GU3EL6WXWARU1/2or7JC
kBiaBdjbJxUzrHIj4d2XwYB3j4R6ToJslFntI9lBjFsaNazAkPwiYkPp4Le+ZiveWtcuH4wOxk6F
w1ds+rTSD9PSHt90bYH4LnTa7En10mtJjO2jDyCeIJHrH3hkhNgcEVF7kVoRjmb5qPdWdj8CEHg3
Cezcj0pN1UUf84wWVMYlsb4NZhvSdfQtZaxzPapUGajZigypXbiAmsOF2eyBR2DQU+Aa9IcxwFzK
2MQkDacs65uGdPlh3eXchoAJiJQTvUaZ09qNfjbduDYOmWy6YasaW793MY6sRi37KOZschf0TYQ6
0EA4uBpydL17R4QQRpsRGVw3cISMutGTl3Eu9cugwQnCsuykF93SEm8BxTOTSW3ClG18xwjzqmQX
I5nHrR2S9KqVybtwWx1BONLvA1Wyc0M66gE+p74a6/IiN835NEXpAzltud9RfG1Ka4Rxbme7uCSm
BXSNiRpdXLc8ANexhv0FZBaOrMzWqRs4fiCtbCOkv1266dVMYQHk0o/6rF9Nw6gTZ9/Eu6I2ipvR
7vIz8tLS7wxOjdjLVBNwGWVnxxKKJPgWahFXLUjEKRHXTC4QBZfZnnxyY51wvoSzMJ4R1OmPegHk
gAWW6An8jU8F4ZD4fkxxi11ObrwqUVsH1BautmmE3dML6IeTd0GUkx1wPjFDQNWgQ30vqAFZGilq
V6he80ZvsuJE4KN3OQ8EAa7LwCNMlMX7Q7buriYs8pNA5PQcDkO36obC+1Zqg7x0CZJ5Nmkovks2
UOxqFcVZVvItNkDvVRUHJBfyG1PtPC/9XgIiKiJihqit7nMkS3vohhD8Rk8ZaL8jIlmCoofXrFV7
V0TDQ+XW6UvQ66BlTF1pn0PvFu0LCvEcnZMeDyZqZ7yOuyYhr5eVFFF6F0NHu4j7KnvXjK5hNAYx
dTVEHhtYMsHSWAEETsdtNnCaTBPp3TAVkOjhZd1v4S5AiIj0Ci82/n1oTKiIgeCmy55ZyQp2F3go
Fio5WmPqc0ZqL6sfy07HS/vWCRsE5NTH8NAmED8By785O3snp0zYkkBCZLFZtiTxVG5PCpdVGOKl
I7nyo3Igy/m26aXKl630LrzBm7x9XhMZtSYpl0P0aGXiQ4YEfMR0cg7t2I4n6KUzAVx6xMG0NxLy
DHMbupId1vENbYFy3/WWdWt3+pBvQqmzJAaS0DAswSGyjqoligWannJ2MSqJCpIR0N4VyC/9CPKr
2mfdwOmpkxE26FLDcECyg+z+nGT+v+58/v/H9MGaxnD5PwvMzn2RvH7/uTlq/vkjfzVH8QJZC9nB
tGgHCiqM/9sctf6Q8GEW3w5QGkRi/9UctWD6kMCFsU8yk/whH/qrN2p6fzg2BjJ+kKkDg3bzv9Ub
/SGN+LlHyThLMPukzrQd/llEbD/Pp8OQKLiY2m7X90O7b4y0fy1iAU8Ul/HZyrT2MNYoGTOwnIdi
gOCJpTC8aCaZHDy9QOhM5/NRotF+9xq9ICXE1bauodv0HpLpoKVFhA6A2FOIFgHUVuA64TS/it4+
l0nsc2pVKzHlB01jx2UjoVgtgx6NVAycBDMmPvNHEm/fA7unW+fkl2lb1TuSp5C4ANOYtnXVu2tl
yhjehGs8ZE6syVXNUPrSmu3iipyP+RovYf5GBCRlDjO+7yrGNMv1xuvKU9rWtLWQNVDY4aOpU4gT
kozfXTEcabwgfSHjNPPDmasS+M7BN8Wp/D7o6JuBaIRPdt6OF1pREusmDKrfIr+pMNy8pirqLhND
5ZhK5XSNZ0mSjOhMFhYZcB0rEqD6c5RN015LRXEow7Gn39o6Ex0RE8Bvl5gPHOdoPk7ANjF0nNqI
fZSE5XKn5e4ZCMrw0Hl6+FFncfMci9G+yUEUrUpdelBJawvhLkmluQjiO+ak5oVnqsfEHepzBNX6
jsXZuYBjh78kD+LjEMnicaQZC7ZEBwHbkjHNrbFu6jp5HcHFnaJIAmeoY8R1q3J0hzvbSzAUVLTe
sBGsIaCh9e9F/Szo0ILfUNWbmINPlSg5+643PUX0O9LIYchuppu4MoybQab6JqZOOSfu6D3bYqqO
HEbtA4YYi+zROXuHwkJQYEpPYtUmkXNShaWd4NZjXQZ6hUPG6esdJEAYjRMOVhoI42Wu28FpzMgc
5RSAecyQBjhszbyqlfsRNAfDfLYSrozS0rsDoFFeZk7b+jMzJAdLWV9tWHbDcA3hsZhXfAjE7Ygy
PXnRjPSSdOwHc86Ma3INm3Vol/UTpTUuJuUFfqgPOsDDevBD8AxrOgIkbhl8QJz5TO8q51xOtlhZ
tXs9CsjmKtimM018ItyQp47da1ObtbcVHQifCOvyRUdz6oRuFT9eXPte6mAPil25bVXj3nvwAEBx
5cDxIg2ZQkuRsHao0IF8gFdIGmADNZmy27nAejWpHoC/gugv+lLf2DMRySFk8KucBFh2+N7dZYme
X+QzUPip2eVWQZdEztVVIAPbdxC/O51YDkDVbuaAQsI5KAPaQzAt1pxlvzuR2gEIIMXTmaD79np6
g4Y+BsTRkq4HNMEG/roFUQraJYgL5vS6/JbGkxpoSxTDjRHX460oqm8I3r8XHOiduT22hfuWUJWc
Z2bA+0pr7G1Drc3is/zGvJHWejTGbF3Nt2Nr32IlgLWRNZ1fA9q+C724W3EEKFZgWuo1Pfh3muMn
TsHTRqBaXxu9oHoQVf8UkXq70o2UU0oqdMgrsE1KVRgH0FXdJWhOe9N3lfvRocjYUspaV01P3mJE
1t0mYD5xZ6Gx2NgT9FlbeRNBeUvjwkEhw328hI6qRaE7V9NTmAfygpQ09Igpqb0oM8rLibiVtZsO
7W4g0vAiLR2OPUbb4kImT3OHlWc+y3B2tqFr0Ty0YJgqhiuUKnzaKnWitTMzKTA0UtxTr0b6H7jl
qlK9vTN7lPmo8KzvFRKPmu8uFREUIHpzvQMxTDTuE4CAec0crDqioR8u9XoqLotslOjlveL7iHUD
WioRU9TT+i0POZILIG3BKhtrAZWRPvMDEeOuuaTzVpu0mHrYQ3YkT3AoOfBGsbS2yQAcZAo4hE5e
/mCNdb2pVLzTMvrfvBF7qDauz4bhPA+FdkOz7KSA6gZBso6GuFjQKXSTkCIlz00IbCTPZLJOVNdt
yxKFWdBkHiEMJrhVq0FJ1Xo9z3+Hd4geebzrCkc/t262SXXgOFHoIZQLBup599gndJLpETMZsuxD
MnPYwtl7V8zDdHBK9m4YiXZ3F2kiXjhG7yncgv1YhoYfkGuC6+kmsQRnz4RQlFlSKMetbm87hFs7
i97sznJYwR1o9CinmJX3+TwQ3NbdRIP7kMAvhajPL6DjUqnnKmHZWIVBnjj7QdBpw6mEWaKD20tw
9K7T24XSFqgXoiycW11kw4Hfvs7ksA8GLF8pq34W3+N9P1FPMpdvR2BFYb4BFqGvHGYC4Mvb6Nho
enJJCoh94SbEFAT85U9O7lnfWitBUFDL9IJdYl90QXVHsnGzUzWRy7S1hxE6XlRUzxxoyWwXqrt2
c1UdSs3tPiCdaSvu3GUbVKDh0rzYtg6IFHduvdsWVwVqDaahev/cmzQZk/zQj8l8MvLwqmwik202
K2iUFZgovDouyZ5IWFSpBmDj18vRuj1aZDrkExMBM+qMlZ1YuzJLdtBwYV3UiUVvPsUtY8zdRUOB
T7e0YgZHW4bv+jBa5TlbmNi8i1lrNndWONbHiiyCyaJn4aoAlnYqSa91zIPTNbLYDSMiD8i8Y/c6
sw19JIQZ+BX92LNBKg2WUkYIbG/kBd3T1OnuU92zNEw8aU6YaBbXN5hPO19VcA2JP418p8sJbI5N
pT+y9Cwuo2DatXXRUsQyPdRN6CLzgm/ulxhviiJxp6XRBE5ezflOhExVfCtq7wnFZZOu5bXUnL5a
5VJ7VDExQ1XJESXUqw98rdN9lUN+Bwwitr2dsXtbVu7dQHB8nNzhXBZUG+TKngBSbElkIDbZ6p+p
xR6aGZ2kVaTWjeF45RaNqtqy7XlXBb1a3Lh65j4ndDlWJceK0EnfksjeWWW4n9v40MXufuzG3h/h
b4T+bOdhzpNFyEoI7zujmVUmTrk19HoP6/dM0MdtqkdvbGiPYzO8t469gwHrnKowrLehYROfm6Do
dfBusu9yCgsiAoCE6ydiVlfYFpY8OET9lrLrE4LQbQZ7KCLAxG2XfPP+hN0YOXRVQ5/WIMr4CZqe
e5ZfeVRzix68GzQbMIhXXBgGp047OjGgjA8aDWI/HkZrD79Wv+EUp+7KJEP1MozO2ZBL5lvybocc
YPPJ7umx0rGss/5KJG2JlRzPUOtgFXNakyxpKtXLwIyXwCJj2mPh0tdlo70y76z2qs6yIwgQtugl
DRpraEMjW0x+OUfOsR0DJuyaXV9KdzD3VTkCyQ0Io9cmsseTyX1Eqi59c4AouEqVRlcLauZtA2Hi
2gsMUqyS8lVmBa/XayqEwmTLT664gPWnyInvnmsYlGTPOH5sItRWeb1jAJGQIWhoTw59neciH7VN
TDDPQ2E3fi4WaieGbKIveOs+Ji3AmBob4obmVbieAMHAEKLrcSnqNMNrAvcPgeGe/CPBm5qHxyDU
qrMr2aRIsUFCXfRPmALqoxNLwiHjEiShwzx71YhaY+EBBIPUtd0aQd1w72Aei1QerBmRalsAed56
prm0q4Y+eChUVN9grZR+HZEiYzWVdRIxaYWcwcbb0syKpwZ/OYbrEZyk46hbeM76aoi77L3MDToo
sSg+Pebtu4khMJHUnKBBvdlHhCoY4metyF9jM46OxGOT3moAHTwwTYjvwpBTHkClOn78P+yd2XLb
SpqtX6VfADuQifnykARnUaMl2TcI2ZYxD4khMTz9+eCq7th79+nq6OvTV1VRZZkyCWb+w1rf6hiu
c9Q2rN+HKL6JwjQPTJPMm/Bmvtc6tlAqdt0pWsikNL0q/lbZbFQJt5C70RjLn+xKgpvhN87rLARs
4H5knYmJ42vQqfgpZ+32XDPEPo++r7jyRKp56+H+wJtKmYmSQdZ16+VaJY9dZu9xBSYUbF33OiQR
8PluGm+eBcbMHVV1s7u+u5Sm44VLFH2OFRhLEJuJu6+KmdJtsqJ9vrj+VzG1MPAAODyNi9uFUy/U
Je4yl/rTRVbTO843WlYVLowZP5ueVLeABvBEJmN978ZpetMiSY8OM7Ztb1fqXFuBya1hB3scK8B6
ZPqQG2MF64zK3McCD19RMHaXQXaTS3vP8lKu0Q8IuL2+PPsL8TkoQAIcpewhnLHNf/EPVWEUNN4l
9xJ2hEVPtCKE8l9OtPzoUWdsfJO5Z8PscSdadtS8yuo5IXOU7IjoEiXxTec5lSMuccn0acf2Rm+7
3EnfYP3Pu3EpvtY+KxHCX7y7lahQYtPcV0D9trXsxsva5DOIqT7V2BwcvwwudR/MYYSLfdfMKntN
Emkg9iGkbcfGq4Yd7xJiqRAXDEMryJRD7aykrL7EFPAkPZv6NTYdUkyU+czmI9oTNeqP0UHkKj9H
pX7MRnfnxSOHy0xJbpp7crfm2xwtak927LSx5uk+s7vvPJ4Tc7WS5SR0fGCWbbdTvfLouV370C7C
gi5mrtx2iwe1iND9tMw4B2LRl8S8xZyfYWFKFgfKTwEosMXQjSFD+rzoCIkaXqCdto+6KdIdHFx1
1F2whIaTlSS6d9lZaPBVSpf+/bDM9oFdJOxxJ74ju9dENdia8TmdBlIECqCXO1zVUu6Y63URegr5
xhSYdQ7sSVWAACnqIt7WjQFVKXeOSX1FGjXiwtDjteQohIJkTPq5c7LqK4sgvjxWIqIfbVQtxiZC
coK/LVGTiUoleyxbYTzBQin78tTamiAdtiPkI/LB3+oyr25Zn4lv3IAtUG7o9UvS8otnuUI1kooJ
mqgRvA94bl9x6tuh0vQtmz6d6U/LaiIOuM3FwS2D/kCgjvvUVlN+nnt3ODnsURBS2fZhgJTww0XO
gwIiGdKvNSjCH1NZLsDGGr6MmsOTtya4RChuT4BB/GMgR6B4LgPKtO56tOut/U4vPb7qIS2fezXa
t5ztwSERVU2Yj9neW3ymj7KU/DKMBl9jOX42RSZDOqH0nJha3M+C/zZMEbhHy9LMDZyVfwk47J7b
VoSlrUGcRwlT8dm4GpnJmo84ob1HYbEJhCI+llwOjCWETFKmZ3xtzSbwnr1iMsBBS/JgCI64M4me
BxzLhiZ2OLF0nB4J0MrPQWu126CvXyY3/2ib8W6ZU4Pk2/RnntvZyVMtqAmMwIjFVLOxpreO5ocg
BrQNYr4bgvlbrSrjnKIlfvz/XfFpSQx5/2qi+fJRpsW/3T5+Dn+eav7zx/4x1fTNPyyHNsKXmMAA
lVvMDf8p+XT/YDwpA9e1GFLiX+Ol/l3yaf1hByaSTxPTqCfR1P+H5NP/g0Gk5KdsG9cbZ7/7Pxpr
/k14iVdC4puwpMOrwcD7mzK7JRxowNndhtz9+L5ZKeaG+lbaqP9awET4E852Ny3HoWNF/qd36uEf
k9M/q03dv7l1PcIJsVKAn+M9IVuPf+hfJ6qTIcxsBEsTisJYjlEPctjok3nbTt20WWc8ZNRnEtWf
Tg5DY6awZ4X5o5oD9v/NBDY96W1U3wEwy5t2OEhYLjqXql0A4Dm41FULMiBtO5AzaUdB0RIufYyQ
dcxEhhDU2Dbeow5MJ79rVv6jwv9nJSxK8CHxF3pL3YBuHMW9XVOasALu7mJgkykaTAYeDgiONcGL
MG3ijG6evRgvlOos8ZvSWh7RFMmr9DvjxUNdwTi1Du5HC8buqu8Fp2tWh9Qw5i9ZisSMlWexEaw+
NknhDgd6HucS5Do4rAkrpwUl7DqjNAwCKFiE5UfbU/LqOcrtdq2RDoxViSixLioiruKA7QGnU4pu
jIkHMYY1lcU35lIAJHPZyCcrYFm/7ThpuYAN3jW208cZXNS1Z0ZyHHOVlI8McDUZQ7P5tbK7DuEs
Es15ay4VP8qZOr6PcZzkyLvG8rmyurdBGQ7QEuaxgewvfmVfArJNjog9u6NufeIalPHNHczgzkQk
4RLpAbuyGLpBQpbMyH5wM2vCyltO022AnMqHlefQPSaw2rAMD5KQsGGbKb++VpR/J+bB5dHSyfgS
I9OEJALmCV3Fsu863wiXgY+7E7n5wSIbUW7VdBHJjeV0yI3gvgTjcw1y9I05uVJ3FnL9GrdPBUuT
wahndP5R9HRfAd8cdDD9IK5zOiYNK/4S3HY2Rg2TOvqboi0XIhwb+xR7UDIYnJJKaWM+Jjm9e2P7
6795eW7eNVnDMx07F18gte/W5xwuPBn2LDrurLkNXjS4+U1SDv2ONJEutEysGkwZGtRpKpk2fILd
i8csNdg4xK8848cNxE6vXmKgRIFBu0yaqRiYmKfjt8wfLLFvXKaGvMVmpXZ5RzZPmIjRweSxLIj+
rFHaeg/4fbn5lWd9r+yoRzJTIafxQPAf5oombrQi73OBOf/sjV3wpe87UKVzMhjfslROV5TF9ovF
CBDuVj0pDx4h8bkhKlvsXpF2onEvDIMmKXDwbowEAcabKQfXfAJkOn5v5om5qqZ+uWataMU3KJsz
OabOvA3QUhBOt7jZ925qi4exzCg2iUF/6VLpHMGMn7oqdY6kc/xaeoOqtJ1GwqYs61eMBPZnCuP+
OMdOekficXJaWvTrImqg68bK0kyJick1nbThSz2J/os7yuBHFlnRyajdZWc4hbGtYBrC1exKBxat
ytQOnXl3t5AaFQIVbd9wWFHnDaOgB16cj2jR1X4Y6/TXyjsI6Q6qp4qFMv1HID5KtBEPYliADiQR
b+Hkd1/IZ68PhUbV3OO5fk8yR72yULW+4KKxT0k3rmrmGdmxk2sCVoYhHw9N1xEjkVcFam/2m6L9
UZDPFF8Sq40po7LCt79I+kIEnPzke7tEhyibk19RZLne0Z7NYQkFEZLLEWzlQkBcmmF1dWssuAkS
lcBZSn8H1oeSLzZVFW+QvoCwpnLD/p3p9IMnbZo3FXo6DiQvSM2dkXIaEzpAu5AwH832HmbIamet
5PLBU15w7Zu5PC/WLEBd2TnOFx8XzymilfnmGE7wgABHwxLzorfOIiFxlxl6NHaYaVIjZG7I1wbw
a/SRIPPzEMME4wUY7Ijkseq9E/IlbG6KyMxHQbvXbQWRs2EUIw+usqm59Uw45ZlIoSDUBhQvyNdy
N8e8MZUujOdqsJpPxt+a4XGdhKMnkY+Zw0BPzbAehos7l9U7Dz8zdqaRVLHISgLrkEc9AqzBUYBj
1Yi4Y1t6qu9QwCkcffbYiK8TBKCd7pNcrKDaChn1oPqvRsXsnTT6xn5jhW6+q5SgS1Mt8kc69HJr
2Qs2tn5p9wQedvfj5AY/O2upb8yZg4wBaW8CB2BbBHJsWZnu8cQejj+WXuhRlnobN571wrgbRPto
86Xf1HavjnPW8gsQw5GvM8llpNkToO4JGc1KY5N3ecMmB7a8ucHwmhYHMhEq2NGxM5DY7VrLtPd/
K+PZf6CSRx7R7WCD1K9cPRGJnhlqz229iuvhry2XnAp9z0fGrmMV4ds5jimmd1x4MeqbjbnK9Unw
RUxXJJbR42MoqwdFiMjWWUX+tCseM16E/x0BoAklsWfdZ9T2N1Ym7JFwM18Rn4ycpsSBlIEaEVYP
LI48Jt7VljE0SZfBajyA9YYHYfztR2AWZa5fdIaB0KllGJuB/zPDZB9vhznF0UBcQferJT3yfvnt
eGDib+y73z4IElaSd8p6eweosH80cvjJ8HAektVHQQxr/Cp6vBX16rKIWhNlT5NI4oVWF0ay+jG6
JE7uO281acjVr0EmjP6hVw9H8tvOIdGzEtSVECgKC9EyN5bNGNRfEgAVVUhOFRfyoIgHNGusIp5M
XvTqHtHo6TwsCiq/yd/uEqKSbvZvy8nIluRp6hF6zoglLlAsmDfgUdGA9AFFkwq7Irupyfbp6mih
gP1ha8PZjZhd8tX1Uq7+FztreD1+0N3rqPTOjOpxyuSu3JZNk+xh7o6AkbPKfyCvmpbG7cgQ3uW/
bTesiupLTcP5zi1Ha1nzUFEHUQj9KlffzvzbwuOvbh5XZhh70PRj8hk1v9BJJiVjCQlKfpN2Q/uJ
HgmZhu2n/Y/ht3ij/C3k0Kumg1kf1MLfQg+F8hfRx28BSKEdZsUBG7DxtO7p17TihWotL4fq2bZn
denmfhm2CNg6n5LP4T5shnR465lDvrHKR3MY+wuyQEoVd0Mn6pQb0/ftNMyU6f5Ymtx7tIlveBVY
l2I0QGm+EsdhF/WS6itsO7P+ouKyI/Bm1HyfyjkIHlTXLLfcbPWxrTz7JTOiAG27zO4BXfvvE5Nz
czuJoUAN77PlPUVTatNAEknMh8cB3mxXw0O6IQu3/QxyJmwwN2WJLA9k2zNSCPSiVOzS3sLBNJ2j
OdXtdTCCpAvnuK6vSVY2v3qEdhzxmZj0+rnYnKsdebNbRBkcYoxyne7aqrEY76vSBjvaxgYsMASH
egGybsxkKCK9qXYZaQYEnMwLb1CWBymzDQpiZ+/AQX/WbUTUPRHU2KIyLaU+B67S/h6RFkVHXQTn
QXuFT9ljTlTALthHMdv5uWGV0VGtSR/C8CjfvMR03/hSZ/osbEZrJZLm68Khk3Ok596XuYl0daEb
ZmMHsUUhEZ/AcOwYjbWUrAQBXsiwJicA9/5ERvcC29IzKaOQPVYd4nI6Bw1w2mVJzWcStOdkjqK3
otDZKxZUMuIWAkD9kwNi7VTUMI+ZbBifpsiicx4Jt8bPaVSneRo5ims/yd6tEcEwXYLRv/Fpg/US
C9mBS2n1J3xutCBdIS8wH+jjnai/Qpko2EZH7E5Ys/E58UsM28m1p1ujnSLZeQnyZfwSOFF2RME6
L6TjKFKH/3U/Jv7OU6HLDKBR4HGgUwX7Qzv6Z4ELSdekk6d2H0bCLE51H3+v0upZiebdCspnMka4
WD3mcxSZ3zr2OP8YH/yXnJS/ewDXl8cy5SNGQPWC2/GvL59HnSzz0SAaL+pwNy9NdeXNLy7/+l/5
nxA368us3kt8lrwOSMm/vgy8XS3HxR5CjTqZIfMA29YzLMM/2glLyW2u4cbCLSBytOJ6kshzkNpu
hC7Gd8JjnNNsVMPVbcr+KWeZfbe+ZbjTTEkgDXtJKWkU0twFmjRwL/YPwLTq6B8whv9VmP13CLPf
yOnVYP9fi8x2n0WS/nkaI/7jh/4pM/OgUfOM4cl3TWv9zz8NZHjufzPE1ifktzv3nwMZ6aNA8+Cd
YV8XKNNWTNW/68yw5yJZC5jEWKupmlnN3zy3/9KDu37L/iIz8+lfARmAqkRkRoLdX5/PtHIwawSS
VKSWYozqUvUvrELG90T3+t6axhc0ycYT+OkuZ1xAJzPbAZV6I+J854wZLpa81R+tqtMTRr0hJFvI
QfmKs03YaADSInUeJ9ecnvjrMW5lY/PAWKP4zBB8jUNHwbQERqgyeia3tusHkLHRC5nEOMSV6N6s
2i4/WPbjCJboUboozx/WCW1OOtilEJg6cLGOr1ZG421mKEbjJAAyQzIvtpbgfTKINxAjVqgqV0hL
DINdLiKazSRlytHSoPuc1bNZWkmYdGBWuVACyKWY+gaq62e7tI2wizOWpNhOyeciwCmNcsXGPxjf
JP6vYyej4lcQcX5oK06++y7yG3/u+u+U9R0ZSpIoeJAyYF9cjPC2RlGNI5Fp1AavifiWZ4ygXNuh
EVB+cB3FNM5buRBGsS4Bp29WmZHphqqATDdla/NrLTyq2oj0ro0fC2RLrXbunF6z9pq9HM2fUXSX
RAkYNRYiIYKsA2yh/zi9//dI+O+OBFQR/+o4+D/Vz6T9+LeH9uPnZ5f85Vz4/ZP/HNLaf6yTSIAp
DvvJvw1pPZLWLb73lg+1aT0t/n1IG/wBZ9CHNggOxl+nt/88EYT8w10PBELsHJeu6X/ENPxP1/L6
EgJHPiZ/DPrMdP56ILikqGoxZP2+HXjknxN8uC+LZ1TNzgFke28DBcZwIWrFem2q97bZZ+DbYmf3
p7ft/zGuldJbSVF/Ppr4NRg+BByDFl8N//dv+mdCk6NdvDyBDGtmIa+5TzkSuUF00nEpX4Y8Da4T
XtEFQH4Z1RMKi4EJDWcJk03nyP+U7g1B71TnSfkNGA1ocBxSjAGxTO1KrH8PZj9Hp0Xin6JUHm5J
RngV0UQO0T7KkI9J12Iwof87+QmaQUMZC3F3cRGFRpuPO2TAcP3pMYltGrispe0RJOKSI535M/Ew
Q47NMJDkEGf8+XkzMvw5tZE7fdRMBbiu7Rs5dcaRNnIF13a99WE6ZnHn4BBu0cwUA9BAU1Fq9kQ/
ztN3C6jZT0L3nJeAh+BQz5Y+E2rePYAmYzyQ0dzhSxnr773nd6fB1e19YvfibNZCssHyhz0oxv4h
di2U8hXJQYTEnIu6OU4sUTclnqMvnO2F2mSkL2/tTLjvAtjZtkbr/CUZ2eoPTW6dMGmz/NOWvKok
Nvb8ERMEP/Hy9Zi0R2QfwTU2rPGkUVDvqGj31RxDR2F5fpl7I70NGAzCZlRN6A1KktKsKms/e6MT
Rr09h6yf+hdHMTAP0lW8y0TyuahGB0CJH4UQzNdAI5N8YgYV/NMUIGMsdyXw/7uY3NGXYZyMNwJC
9B6nS3SUNk1dW8s0RDKQba0FKYsqMz+E3Vs9koWNfStyjeFubMr2nMaWvUMRumcXf2cn6uhXxsVX
bN3jyaArNb17z+LAxgQViy25oSieK2hdTuswZSFMLrfgdqEOhOWezKsnFtBktOTbjhukc7sHHHcu
cwimcrhTYb+UbcpcmVippm/VrYE//g5/ucdI09fwBuLfEUHGd2/h8vJ1Nd9KJ9Bs8HmeUh6rvc2m
JGysDt8bd+nPuO2Dw4jn7W2Rhqw25PfMd6Bo1tlHLR7NyRIP5LJO92aDrlA1euL6xd6BmPAeyGK7
DoWXQwNW4LEoHPdQFPbyaPdRBk4KHWRpuWQJuQuSgDmt2F3KOCSn2gmrIXNPiaINdBIV7zCNE+GD
m+VYj03zWjAp5dPEQlsVeRJWQfnLIuGFPjUoX6BvoIxBNbvj76i3Q6LcowZBcZ2SyT6x9/APVRXL
0GIRUyNs8lb9bxCEbWz622mKmh3EvPTYslsIcyy708Fzahxrud86+8FytMcR4fJd60iGIBDTszZV
ObP9HgrrPK9ayQEczn3aGdaTnsatWXW3qVmWQ4D0hqxWez6stg4ublfcxX5yH3DIhNKHGcG4CvHW
xPCyGi5aWOmPGbXcrzIGGxEUYNJFsEQrW868XzxLvcec+kdrKNxzq3VzV2FsOi2VdvYGJKf7jl97
qwYneoor2/qQjZ+e3Yx6A83W8KMFI/LEyezjnK3bb1IN2VaQ6rkFVYBPt0mZImLmigGO+7aD2sdp
FYCIYZgPzqJKyKIUMRgjG1w6UYJ/x+kAgdwqbY5oHMj7uhtGaKtJa2R7kjYtVM4+I7MIydZWVK2H
o0uZVrH1sbj2kI+QNxBV9mrZRnSPe4CsR4kkjWw14kCZpSNZcr6Wwh8Iv6hp6aXZta+dIswuF1F8
74ITP3P56bvISuY9Z9p8oN2szuNcJl8hKGpSEmLSzMtkDQOfrCDfL81YxVvoNJMFVj53zp5tR3Zo
NcHnnJPCemqqSoXj0Fdnv+icdzsN2PCsyRlAEcj0AcThAtLzWHuRD9P8SpkQNSBJSK4gOXM1/i/9
O7XwcGzc+r5KjDfkbt2xWhFKDPbwLFUpu39S1AJ27S5MCqJ57a+Fl7sBwqG4frfLtjgF2cwLmCPD
4jH1icAoqxPjubGggI2YyPXQSR5EMmpxYFaEE9olqSS4NmUk8k+XyL7hSWSl/Qy70oLJ1RjNBwr6
6SOKZPVaF4lxBzkdmmbEaICvUMurlQHO3IbkCYNLKrJfY63fobQbF8KtpuhCzn3LJAx5EDpx7OVm
ao1k9K7Pf9y0oDImf53DV6RoTOns/hKzdJ64Cjv/NHpZkT32OCNWOU/6PLSKkkDAvdlZQknnphmI
/mLoZJloiT33rVKT9WNGM3fqm8Y5zCRTX9AR+J+MVYH2RdIkEgXYwDXKbNI7DPqNZ5k47l2F9pjd
HLlSWiibmZKh3Kc8ctVXRkLqyea0hlGKZg02sAaaE0tn3+QJASyB7U93CD2so43CIfQ6apfRjjz0
g6NHJpdZ+PediLzsrPMnI9D+JZMZUmI7j8m8qSMmeIGpzDcQM+nX0aFgJx0jXVhwFHFvhWlN1piL
MKW6zxaV1WGfVtiQOzLWwkIYLd5Y2DOPENFrjlsjfkxGZ3wv2kZ8IcbCeq57ARuayIa9tKb6PiqM
+EvFSuhEVQPtwNX8FdRaYwazDkpDMaXjQQF9vAgPYQ1VmvHoQBI9CHiI22pc6k9vJZ34mnXuVsaR
/oJiikiTHBoJOI4qn26ryLUPl2WGrLAkmrFwXBJjl4lV/BnHp6irp++kuo078jiTt1iW3R0W3XKL
kZhUb9bxW1IX5HbR3J9lprZGMPmnBLTG/dBDJmpV0DVbyywNajH/ME1kcXCo4tfutjlAn4ksALgT
zDLHQR6ZQy/juauz5Ew5A7dQCtK8KBvcF5t08AmkJvf7IcAl9JAr0kvHGRYEGd4uIZioT574qb2T
oUhvh7U3Kp1q55ICdyHWbQ6TGtP7rura7r1h1w4yxZlPIpP9PsoZthMwGuwr5SB/JjT6ENVLfK8X
YiV6m2fUTlr/6hrEvaQxZIPU3jT2J7EsU1u9I4b+gJS8yaz8LL33FsGp3BYaD5Q9Gd136st634Pl
mHbIifSbkczqoWhBmFh5VOS7wnb9Gx5PdzkwRkVQ3OXBwTfIK47zoKAjdMDFxrF7cMzU30Ft0+pW
pxy2vjPg/B7KJpxQes4P3WTK+lyz9btzg1JjEkqMdqMhK13SPMhfkFeSVrNqGR2STQkrcbIHTbRk
F2ZNPX9qWRbeNq7H7M3v0WxXSL/SXZB1nrXNgBZADxcWGuC6XKPSp6ozs2jjaNrKWsOJPvkdtAo6
0LHbkjyJy3gagT/UbbN3iUW8Vt5g3lBVKMy+Q/461YklzzrWbNRGvMnHgDCd4gh7pboyAEEQLVY7
J3PTrauFcdSWFt+HLrYe7FF21NXdbD5z2iQOD+4wNEAU2Le1fRSWOtLnPA6upEDtiZMsQoqe5hBj
Wr+ODupDOTB0ZdfU49Rwe+PsZ1AkgFzfK3JMsOQvsvgcKi9m3+A73P494Y3tZNM9DBg2UMmZ1Z1X
4Erp0AC/Iv8IHrjgFCrSEXVBYPR7GNbD3p7gtmRTHf1yChfXgrC8+wnzKQW0R2ADBizBKdoYr4a7
cIbME4m026CpzEPelF3oFY56WkYXN/HUS+vWkt64TYNl+nAyhGAzp/hBxlgCyt6hLBPEvg9F99na
MFlclqQ7zxENN2dMEK6zkG0txlvUUhSko3Wx+ITCbM69UJMR+KWRnh26XDSbolFZWKaRR75IkbyK
ob0pSRxHR8rmoUAhSeYGzc21deL84kJ44SCRxXCs6TF2QZzIk2k786M9OcXWLqoLQr8vriw/cXXf
99onhJdkyS0SfRNmQoU+JPW5mbJuW3ugoVzRL/fgWkt2UO1wX1N9QXGI4muy5MnR9ePx7Inv+Zhv
+r63MX7niNCm+WgZdkIvtYy7GWHxXnAhxRsdz3AN2O0fQY3NW2SEmzohpdRhjO5eW7bT+ZK6d7EX
i0vls6bLM2xG26Vxml0hNFLuqcRsrWKx6fS4yvUpoqu4RjIDMMVUebpLfJ0/xjMVbdTG9sXvB/vR
FqV/1mYDS0DgHfcMNCYR3/bLMHtTtbHqFmJHXxGnMRTO1pt5NAykBDtMF8eocF1iFNOzn/cHMxl3
gjgUk3zuUs/bsXJAyIggRTUqsm0rMWe2yKd2s8vdtFnqejjhkhT7zMisTcyiDsBpDjUFFdIR69lR
mdQQi60xgUlsZbGbFauCmfMP7/ErMoQaa0k5G2Hd4Q8n1z54N50GpWc0CxJdKNkDFRfnZloINDJE
fFcYjh06Y6CPC2qJbz6z7TfXW5onKuDsBFBGv+ZVVJ9woRlPQg/M4haVc1Y6mFDtqsXEQh7sXVIq
bPEUbT+EELTQomFWh7n6p5Uoh/zv/jqp7NKVkbObzei7iTmF3CRgFjmAstR4UdlgXBj5QYMaAbQY
rONPkxyCO8AiwbMfZf2uilW2rQUFrPYqK+xggu8cr7mahKTAo6t3rhkB3LLpIs3yKdNTTp1QtR/C
BeVUGla0tWnxT+gAjlO+GGfTQrYCs6q/9UHfnb0gf3KAAjk+7A1pt7davilzuhsQQi8WoJDe/Zon
LK1GU2CgnJ79INvHRoldtD1GuVivJWBjkaj1ltIQhXvwXhLehyPgo2WwsS1agFaxXyVP2TSUx6DH
hc41U13tfJQ8x219Cvz84jtJeY4ne7m4bWKEnuMXxzL3DxDuasArSYG8rEpPY1/EB0sPz6uuhglk
Bb8fk/5u0YYC1UwZfiIjBzp9UuY/LJkhzx08zE/AQVxUGJyR0jRQ7ZIc6/QF0vigjPZ17kWXqQBd
bgRxdwwEnf6mUpl3TWN2zv7k7ZbO16e2yCEyeCcxJBdRyuNilQjdRep8aWA8Xk1UYl/SzGaL1Oo+
CB1JrPEhZ0VMmiCAj2HrZ4Ozx6bSvBpjULDvp0VZXIMqbAmaS4Lg+rnxyofcMQl7wRfmazdMZHbu
S/VZTayvkZEbOGx8swo54M9mg9cAQ+KeEVNzQnwcbZU15TuZt4SaSxzBrifNHxb/Pth1AxI7r5rs
d+zA6gTMz3+YQLLtIwS4O/Zjm45Y5xCSGjleuseUxvYwF/W7BZ7pCZsHlhs5BTNGXwcym2+47b4H
PHkY06rejBBeT2YOEM3TYxCOhoEyqWmJVqxsokMad7zicPIZH9co/uAvLuLTxu5CDpJ3xgk7mfkO
D8kDUolT2affQRF+znHLDttsagpxqVBOQ/9Qx45x8J5r09iOTjHtMmmYWM3K8TbkGgk3S/ojN9cx
F85R4MJBsoFcAV02ffjR92u+UEQTctt+uiP7pcoJDiSIrdnqFwd1Pf7Ymfg4/XWQI8vECSbLSXEd
PLfCnG9WlHwdLPTgbW28WinpcGU29R+GYzVH/n/m75QtHg3EyVJ0Y5QoxjP4q7vaUrsmQwLkwYe7
KiQ5m8yR7xzgMQJp5bxaVil2BnqcnT+LV/h9AQ4jH+xNm+ypobdtg9687j8HkwG95mrekPUEmmLw
4YGU7i8E1yc3SU9ljnV3LF8wRlJeOuM2VXrdMVjevgQcyXDjQPTTu9H4RD7NBlboMTIxy9lF/0yT
3e0LO73LIp0eAtETmlhQ6llp8pB0JNbXwbzFrKZ3SDepF9FWYLaXECo6eFwqTbd2KgtGecK+TdOq
ZykIVka5gt6qckPZoRps65qMY6HPdn4FMXJpxjTl61g9DxlRBro6R0EXHNEn3NwlmNpdNwzBbqhF
+RKrenoPKmztWOE2BQ3Hpmymo6uK6dA3SLbCYprrEzi7YY+pXZxIepPHvIOzqBYdf4tz0W75hrJn
6V4sFvPjgyTgW6ifHnOuF0BH9UlQ+p4SJkOr4O5quAUNNfzBvTl5rDJlkdGbDPdxybhlGOrm1cJX
ecyzeYg3GP+tUDRIIqpetzjrZqx/HhMz2oZoj/DVfV6SMd1GJmlmNfJVZpnSVSfXJXq+NUj3qILp
akDc3KzWFT4oMz40OJVDT3oEVanGSr9oZ7JvPGehHOYrsMrumkXYyyAZMvU6LZn0Q362e+862zjB
W0jh1YBP4DW9H80SIRsNxmfywp5LWScHTMbNoQ2a/NVAV7pTMHOAWPF7pSbBZOxt4NMaQxhzz1Mn
awTxiW1ThTdPcPzZuFAnzItH+LdpqOqEdqPZqnH86tQw/2dO8RPmJ/sO30a+izUSW8gheaPgjvCZ
HcfJ8gFINyt2ynMbD4c3fw6UH4EEVcKESjk/PUZd2O8J36rcbHrMuljhzlrn4YHpjUxSp30uZfyW
L05+BXKJa9hC3xF2aQYRzog6qGLotrLDmCf5N0Sm/QGPqrOvqTQpqPJhV5LECI0KMuKm9RppcC4A
viMk0iM2TbvzBX6b8RpJFDtZQ+sRdoYQL4Hj4BqWfp6TmVCX2XXqKMk84qqPehTwmMjJ4+msSiJJ
Eft5GJ4Qk0UxxhR+hBBarHhXenn5mgaFcxK9q351SUPpGNnddWxpmCrDMh8lHpV7w62tg0ra7KA6
EBjoSZQI43Tg5mWr7lxN3e9aij+LBWe7yZhSXAEZSaLBCTUsZilfOPirezINkoOOFWxXE6zCQWal
pfaTWUqHlAF4OzT/DVcfLs7ZxkiyQquYhNWzTD58l/Pi/7J3XktyI1m2/aGLNggH3PF4Q4tUkYIp
XmBkJgnl0Nq//q6onrEuYbfa+nnGyqweikUGMyIA+Nln77Whq035i+so8g74eiWB8oesAarmzOJn
BMXkh+05VbJxQXd8RTotnjmGvGehDwg1by/u0D0Drhk341Xwoqrw0Jul3uWcnc/zbPN19RG+VFCO
B5g45XdYN/KgauJkNVVu27FidRojD25iiIEP9jDOa/YIPTWxUiGb5W7PpSUQ6AJClUUld1Wa1Xcq
9+AVNrPc90n/Mi742223fU2dhvYSyhz3uQsc1+AcflysrvkQsQK8aUdy2nv+QBvuIOiMq30Gmzh6
TpIwPNLFxXFnqFaBGmiHzTJueHNGEZz8lXL8p1y46DfEw2zuBDOUqREW17OjCx4mnaHKfOidkoq6
6GGQ5iGgd/CSYHQm3KzrXdW7n2Wi+DJitb+dC87GMDu9M/g06zvAzHgbVeFHCFPiENRXTLKvBAQE
zSEs9GqLFZHOjvPoOgeeuozG7gnIUPmSace/cx2+fqW04tMwK+vAYDdtObxf+hS25cxiaieb/sbh
oN6pftx7BlVySy9Fd8zJ4dyNyxwiYojnpIaFVeYF65U2B+ZrBXTEu6SFS7oHPU0dn+PdW6axbxxp
m5WKfPJXipSbk+chylCQn/tyfnRckPggu0CuTBOM9ih8WuZenBOK6G0uItzx064dZUjYTz+Tn77D
WWbTJ0SXyOxmhLlNDsJm7Q/GPgRl2+/YprNMqpBGxbYPR+7Jk8yrc1hRKo0K0MKrWiYsJE7ADdkh
jfqCyzv4qnyJalkl4ZqDheHj9btjxddws6i6At1lcpzp3BZv+6SLHlpjzDVCpW5V2Os1TOkXPw4u
QYc9cxDh9yCDZzbHNwq1ey98iEx0q19CzkXnNAEZS/doWrTfKOR880fSUXUH/LOpJMHxS0QmY2NY
sDy1sGjXroWv0LOr9tzQarMZ4yD55uPqO+TtxJFm7kCFtYrUOj2aTVLjgFWAlgsS/fFwmdk13QJb
zU4Z19r3Yo5IrmrJ/h7UONoLNttmHZf+jTO47MUaQTJKgZGNR6GIvLdHYOYw/YVv0j3hb06DKacF
qg0XHicFAK617QsbyTEo915ThHyMqnC/2fRBXA9AtX9Usy5/EEslEVEPbnXDH0pPpVpeeoVEpS13
V3F/uw0Xncm1Nc7Wp4HXu+V5CE53wr4c1yX5mBAA2JufttYzc793A/rE/zaXmrJONHYs+kPS3XNf
wN0UkzL/COZw/Exkz1yHaBCOLIXy3DfnjkKyHPVWDN98auvuR2vmMibBN1LGlk3JXWTw+q1Mn3LM
1OSln7UTdMdkrvCLFK09gueV/suQOEm51xKdqowpPUDJFJTesHrT97GvLNwIeg5pOogLCiSkSgUw
Hyh3L4Oe2iPrKI5x5eCmOyZqcYDnmhKQq2r3akAtgD/m0/iWyfIzKaiQ7hdYWoOwRrg3VUZXm/up
OfCxcDMIVisrQxLpBludR7dPuVNU/LMZ6rK7XYIq4Uhp+2+EBa9sAm4D3a0FiOyHh9FRrrFzVDgz
R/8r40C+MwCyjyqKg1u2rIRFrsAbf2Qn3AYTfWmp9i8DdiyudhnzRWkkn96QBN7BsqKW/RPmjozm
u6vSRZF7540/eXeGXQlkcS2dLD3Yc/sYzII1pI4c8OHCp7Y9yvRtbwXzE8pasmvwghhDdGiNqbDA
KZ0HQcrll40wxQO6xaQT+T8gCvbjVmi7OXWWLl5cqHwbPG7FgWSldw/qOe/WMlIkFGmJX3uYKIdR
wAS/Mkvsdk53bBT3zcQXODbqe0kV7k4RaIdZJ4gPW+FwrNzKvQdk/z3sUPTo53X1apjGd1H3MIag
pm1zYR6GZNQbty7CFeC5gWSni8GlL8ymgaORkg6BbOe51R0bQQDPQ+O8xPW10zRv9yEsvW/lCAdz
jiuordkwAYJzMIzq9uSVPlOHNO2BKTDZdZ4VPZLT4l4/BB9zRJRrize42drh2N5mtAJsZySwR5FH
uaYtwxfPLJvMLkkgcpOYSHdYruf3qHd+aoPokIP8vC/btvhWpjw78BLTAhWG6WWYsOCTftHFug2b
JF2xRQnMGrNRSMFVNDJ1gD99Tga7f5QuC5+tC05rXBeunZ79cOFIEEN93MQez2Qft3lkvPlpXnLn
kPrDuAcwyIAG9I8N4nERFatTb5Tb65NaMnhsZYiVp8YQQLVYY3+b6YxczQPJL9GP+rqYdTZZOo2U
iNXPTGacUnrR7lVVe7cZgMldsZD9XXL3g/1bdOYgkt1oTpPromGgWdIiOPvYq2EPZ3q7sPu71QCd
XqUFyiW2J1j23nLo+l4e8O2359o46S4fOvsxmdxxz5IBmRMoP91YnFowRpVT9JSMcwDfoeFHyVgK
0lkgzqymnQfeVcH5QCz1rRMNEFwt3FirykiQP0mtzE1pZvlrWcpC79m+MAOydZtPUxvCTIaMtMnR
Up9jDJX33lA/WLHZlKh5t83cB0ehZYY1KvArAvExYlxj+4b/oR0H+s6cfB2a6hfl0RRsTwErFVl5
w5fGOrDrLR0dPPq24ZF0tbt3OCichT0fdLHQwDFi49mGozXJVeyXgM+K9AOYVLafERF4dLFXX8WF
w9g2A/HMujdbZMk+AbkLk5sETLsSyHSIO+zv7A3xOmtYGW8ItlMesFJsHTDGZg7AGpTDe794y0O2
8HysGwnvNmEwaL3qDDC5ozYs8HnYsDPn/N8sSfrYN6pBLs46Cohj7tB9BU8nJxEx8f0t/OXF0X7+
Zawife7CVn6xgQtv/IEY/3ClsjBvY+9W7tSW3AsdTXLMqt4sFrL3ldO0IHZKh2+FY21szNYfU5j1
C7CgMaeHDCYDFrwg+UQDZfJwG+8+dm1vizEoo3ivLO5Z/M/HKinDetXNwj7HBRmeOetZMFkwAcre
eodk3n6ECeeNdVCNNnEOydMGN1v2GSFWMiZg5997JEgOeHawHlZD84ow9J4m5sc0h5rHeNC+eHRV
HtPGNwCknTZ9c5g/X/vFZq0z2PZymFrO6cwaBN1oNsUdwMyyiSn13kLFLy+UAlJ5UargHoCs3Lq1
ng7wykEKoPT1O6eLK7Er6wlPBq7piBTo1FuUEpBLug44ObLEzsj2wsbLgeVawQjI4m4+ED4KWWVY
am81s3uphD3eSIvNK9wj8YjJw1oblH6MwfP8oP1YHNy+j9/omfBemryndcPCtcK2hyCOZYlx3w1X
fRwKu3NH0dy1ErYtFAsvjPSgFjZVekWb0AsxbtNyQWgnJoCbmLhibznuDYylct2XLiaf0gQuHQ9K
ZpugCeBgye5X5gBCAc7QEO3LsDO0uTZb13OeJdr+OrWdcB9wN92y3y1uLO0++MTqd10A0NP1jbxb
sIEy78/zj1F7DW5NNamLYPndMiKZ8M5OneKRJW345FpifmCBHfxwVVKerSVgr1ba4ylrJQ3WcazB
ClaJehILW8bF6986dGjay4hvEa+d8x1OmnbPoxS/S7oM99gsH/He5jfUHmHuCDtvIyb1DWpTsumy
JuUoqebspcGv8zDRQz+vSIZm34AEsSOwlMHclF5p9565bflCrMs8Gj0yFPLYJfk+Kabk5BcpcmSk
1Cnz/bs6yovN4BWKfOBSHtEyRlh7dcEVMU8np8Y4A8kafbOVslhHarHfIupzb7kkvFcr8B5VG72E
dPk9EGYrNzJiistb6rGK6cqpnrNLwp4wxQ11EEpy/YThcl6yGuWVMsK7vAJoBcTg6HGcvZQyRTdg
iLoJlwKGOsOTd1vLsDqg+32qrn4W9nKGhbLhJOafaBZhaWPTSHzIQAu+kTCQu04XJICFKF6cQXLj
6tlJH8usPDlVMJzRBPCECH8mmeg233TOG6W6qF8xJsNcaFlUw2QOuustncaDBvr3jhKL7OBaKbaO
asC2Yzf1bsp7BIB5WEh/1TF72UTY+sJtetTXlfy85clR7dhJ2mdQVD/r1kHr6WL/EKUT0p5mFXnH
fctf4/9aIPfYgu10PD+PfTyTLY2mQwiq+xGLpd6aNEKSCp3yseFw8Tj1C0GspKjfiVlkoByHeTzP
BTDtJASmTVNA9G3scvKvhqEURTpqcq5809yzXgpfy1QvmzqtUA1gCG3yElqiX/rJMaOR+Vgk0gWU
FwAqKmn1DE1CeCycvP4BbSD5BIduD9CqS7H2ECKxOzjBeQk68QZDeOZ+ZjpUQ+LkUDiosAO8rfFt
pewTMG1/NlEoThxU4k9EQs4Q2VWKoubhkjKEFwwCg39S/dtVCnq1I1xZq7Cy+3cTBe431I30HX+a
uUfb8LZxGBFYbsPsZ2JRTU90j81BVOnnKIPfxFqA8b6EoO6Ba3nybcfeJ0Pjr10VJI9jzPp8XYtB
n/oky39Vjjc+lTxeWcwQ0mnCxgdkDffwUPSZ2FrYnk9D4Xm7puNZw/Bc2g9aL9M7Mktwy8pKb1Wl
hpyvvOju2RiIp2JgALeqJX/KK+tH1rVqF7Q8PwcdnZJ47ljn+O193MzOdwIiyIo51wz1QCTPhEwt
jEEtHBsCjscO7tsKeWZ8NIZ1Ma04Q7vRpazh7iBk1Fk4revQdX65mYrOOHTgoNTWABF8iYbkIeBw
sGMZF52KiutwahvibDOjPqMzagHbKPdxqrroMQvDCrgPZ68SoCdPV848PrM0j1/v0BZSsktL8nOX
65lAYGJA8tQsnizds7PmWLvhjJy/hlm9IEZbUfI2ConmFupsQnZA3zb4arhFpVa+k3SsnTs3MN/L
Og32KmF71/WFt4YqwB4voxSB7c7yhBrWH3wf1Ptkrtp7bQ/dL8w11JdWsf9kGsccaUekMtRdqKYi
P3aq8ylA02ATw6XawJ8uJuSTTqIrLAFedWx5KV9LNtgFsIK0vxTG6XHGgScfwgjuZag4c8aptS9Z
3Tx1EMWZmCn2skXjMlUp0uAMlYv6ZawAXGhrypc84T0IREe5jQ6qYwUg/a7NhvZeRF1+Shz+/jGd
hWj5UijecucnNxzrdoxw128Dfa1Q8rXmHvR/8IplWebqZZeQJnPg7lU//aaKtrMf6XfdL4QVUizD
L4Fm/+Hjvnqgyyj7IIQ53vkeSxd0Wsyw+UivdCKy8n88qwTf+t+W0/3frvte/N7//s/f8E//exj8
w6b3m0cCzu5A0k7335kYFf4DVzx/doAvF1z39Vf+OxMj/wGzw3dCDPLA2JSHNf6/HPCu+IcD7yRU
NKX6vicpEv8PMjHBb/1v/3KeEwmzbcz5AHPdUApe608e+CqRk51YnXeIEkNKzp6txNkOTuRle7vC
aMllZPSDgs6e4NDyFI1C8dIzpfYZPo2kl2OHTmlLamixf+1KEOuAzwt/qFBwhyjFuy0wfoftuHUd
R/xcnKtB0eIpfhK+hoMZo2WsRTimx6CkAJZo6YMABn0JUZXuYpanDJeUmM1umB67OGIn7YonJepu
zTu47O3aaWEjuv0tPp9dp2DriSnb+oF3kkWxlvUwbEw7mTXWvHLlXm9IplXVTiIgb0Q+4Lb1MVdU
TXgLE865G60u3guTfEDbT8+LCwaR2HyAAZJ27Mr3vriRkgsfu09cYAqnS6pWfecbWuei5YgPqb+Y
MJxOeWonX2ETjGu9ON2pdPrvciYKZ0u73cH3vZKmeU2VBj/pVHLu+mb+MgOLYXumGFlk1l3QSHY6
5gdz+NGiSRNG8uvceGem4xvBUbZfhlMhnH1KBh62RGN9ikpNu2j2vrSu953AKJ8Hy2HQSwW9zqMO
D7EYQdxs/RyrEV0PVPg52atO/Bnin3wLMvsKjABABZOrm6CIEtDdhnGjNmqwxrMzdUSHG+dUFNWC
4VHscYozdOj+IW9rFpFm7ij+JrNwgFz3AyQAfo82sC/GC9z7ZfBxlbVi+CjIIy6rKhjjTzcK8C2w
PX3IB48bqjOJz7YdrL0eAEsWRSzPWJaXX23Yj6tBpF7D1DqThK+L6aZN8nvbqdNfop2wByw1DUOx
RRC/A3zop7r/qvOBCUJh3mjCU44Rau3QE3iF6LXePYf1iFutesjpNNlMgXlUSXXJpb234kk+mCKd
jv4ISzht+msWNaePCKc0wAp/+dR+Rnbf0h+FN4y34C2PlqtpjBjdLn+UcsAkjxPpPNsK4S7Ax5XV
E/tEz6wrUS7nno4gxxL+Iy2snXMjJdFcli+l02zKxUpZ0VKPN+z6grP/2tJTjBki1AGBhZEfdqNr
wXWXBQNPdlYdhQalHBXsJ1Jq1NaWlbmPrVKk9TOv6Ni2pJA0Nzowtr0exgYJr0aLi7edVAt4TJOk
AQpdFclNpKOJZV9GHng1WCWElDJu2YJZIi36w+CEdb9O3LwjPAJsrX7F5dembNngjhoa1tV1IrMr
tXZHVfK4SRihCRZgRIAcluhpp/BVOasY7UmxfoStc8xhglS/6jyllDXO2BTt7C7R4TpGkQ44oETw
FYhmKFgYIVVY63i0fahiXrC4cF6ROLY94lOyiwqIO1+VOyYFRhlFdMCpFqT7sgn9D9uNl9dy4ooJ
+wz9Pm7VsskiaM8r4iYJwWF3omjFHS30J46WgAZ8CG/+huMUb5bMLcwcwJf5a7zkmX1FtLFyd1NW
e3lWFk8dQYafU9RUAvsCiQy8KqmTPwRVVmQ7+A+l2pKr7+K7JC/59NGEEkoIZ6yrLt5NvbYDZTzo
GUzA+2Kg1uiI5bDXn01rDekulKD21m6hyCqL0eFIFFLd1cxD8hiWxt6yxeEFhzqnNQSj1WtZJ3I4
LtEM5rVhDasrc6I+0/0As5/cliRjvk8lPYskJebmdqg6/PSJMtmxmDlvKVRZP+kE6hKZvl4+J/38
pmB+bLqyWd6VPzVs2hJ98TIA+EMakxgpy/5JSFntxrFT77HbcLb0emE+HNt8TcGAsdEeym+R1RKz
LjcwUEf09LE/B/y57SrobceHU0DQuwALPeYejPOIdxQX3dUMOFmMQwjC90urna2VzNGwj6e6dzeV
ZA+ydUtA0Wfu2t/GXsxyFyRN/wSsQHuPwGTGaKdpuqZsows4UpawEBb2CfOjr7EjwnwmxjHaxDWe
tHSSLxb+jr+aqN9KNqoV6XMLDHj8YCDo25PBFYSuOqZdsGpiCkLSfDkw1vyYkVrpiuS7TPkV+zz8
yrWBF9phdJu78aHvl/ReWGw3R2+eb5U3XJZ8EMcoCbKLYmJiKOWcaBlboq3p+b1jbXipLRva1Ehm
67kzerksUVvoB0o0qx8lQILDkJvpGI2FtPCkquI7oH3nYiF+sUnow/u5L0YOuE6mfsScd191inWa
yIpPMqcFDJ2vo95Tv5Q2IIiXYfpFX+JEk3hYSYBAVsNhVlrXUiovABciKzvTv1IVYDbOrMS+y8cx
eKR4JniFzkqpzpi6chcKnAI3Du547gpLsrXKsH2u4oYwONU05U9XwqkYcWS/TY2L7bURBN8Dv8CG
i7RzZYDNjKFWxeoz1pDxb7ELiGccgU1xU9azyvH0VCJg+W2N2Ta0E/Umq9hT66wL531WR5V7CoC8
f1VWO16CHNiBXZX6pkzR/FBmI/miW8f/MANPkHThrkqL9RK/BaPFrh0qJgGiRePOIHO2Ua4MDhGi
+NaJfQdLodsfR+Hm0OLFFe4xTLbFPaKi4lshpzd4+hZBSCo03cucONYdOgiq5xx36ExBrA3mLQub
/XU1VFJUMzZ6WbU2wTr2B4veJvBCT10/D+7OeF7nX9ps1G9FF/Olq+L4ykQcR6D9LEox+UOE9NhV
RlSo4kN1rZYJxOb518Rs0C8oudZy7wcsJS6WvSCiz/Dkx52FIK5Ak8ml3tSMUDGU5GubYGHlE/WE
iil9H9NqGd+kpRUs67GcxouDByU+idr49s2UZYYNOs07CmmiegyruSZ5lFnL8EhXkF9/i/Dhz5jX
8Xpk6K4hkYky55IP2Z1jwiYLk5P73E99Ez5HcxFcMk4uqCYR931g1unBEsY7hL6iwMtN3QPPs+Le
M0zbSHdqT4iMlSDIOVa2WWduukioflWyJTmnWKUb6icb9MusG9vPWQV0U+EJ4vgAVrRbJnavbfRo
c8Gv2y6Ntn2ASNrpenxTztCcySDHLxl55HXeTbiT7TqIn4UfE+LidFPyCVeYbBbV1DcoFCrfe0Jk
4YGVo+JjhdHhrQFQif7Bxal+TyWSh8008V7E1M/NXqcWFXK0x3NbLvqArHedZcXRUpH3sjhjyse8
LBIK3zIMT7NHhPzoLIoJ0TXxF485bpZROyHpjVPixQed2tHWYf74XjuQXhcEpgcjqodGOiC9sYeQ
pq6hjJTGv8HIrjbl4J8b4yNcu/1zHKQ5BFqwsxMO6+88MLKnWLr6qx7qcd/kjdPsJiBueFMgl64Y
ZZqvOC45glV+dIy1PR30WPCAAhkoWROnbUbnHy0Fu8aTVw0Iv167Z0cdR7d+Qlyvo98gXE0z6Yoc
P+q66Zfqs+6Wz54mYuguTlqQwbRdv2GdqLHwI07Rd/X3cds/0jD+OvEwW/0exuHhdrQrkhtHUemG
Zga/a+kZsLLn//xliDuHgYAWK7Ex//FlRlOUVRRZ01HOLftnAhAZrY0NRJi/f51rOc4fB7jr5+sA
RLWZCJnn/vg6Tmi5PXaF4WiGcvieXZ/wQW+YCOJF6WRNvD/9qUe0EnZolEL+m1d3r+/Wn18eromE
pyCZbv/8Y6ZTnFskq/qjaNN6h2+jf3IVVCMytYYvaacvqsFilBMufM+XCpmD08Roh88QnJ/Fb8cM
QMT6evAo6YTbm/lhllV1DLwGWcW2Y2BamaFYeWVNqb7v2pZbVSWhH9Rg3ljahDd//37+9QdiErYl
I7vtKJdc+B/fT4MbVepqqI8m7cAz4pLHtTJW6WRvyRmHPONjrbzjf/qinh3YwnEUJ9NAQh79w3ey
JXsI2zbseNHY3HjS4yzdox1CJJZL8/3vX+yPHIzrBcCLOTZYDQyf3J3cP75YHHpuqVXRHycDCM5v
3a85t3awgvp/81P99UrDcM4xRPmY94TnX3/9d6l2slZOXTVpeYRn6Pb3woEnxNnf8YfD3/9Ezl8/
NAAigimSY6KL8fhPH1qcA7jyja9BEyM2JwNHimiYk/gG9cMb4GZ5brcPkRdhYCdTd59PgyceCOet
eRAlX8Nvp7/awWSALyYyh/m382H721nx7/+qf3lPHAfErA2Px+Ft8a/M2t+/J7El4r6tVHqkWtKW
x1oN/cNczQxL//HreFz2vh9elSTKv/74OvC8AbXHIBpBCkq8pWydaVOKtD799jr/S8f4N3QML3S5
bv7/sJxVmnxvfy8K/vM3/BcUQ/3DA2eDLHYFA0PF4NP5J7lYeSB0+M8BmAuQYr8hdP4lCvr08MCr
QKwL6Hf7FxYDUZDfESgOUmx7JNf2fyIKquDPOAoX2hrEHUf41weK7f/pDtGMgaZGFJd4HTmQ1GIB
NXZJytOMT3MzMh7vx6Z4T/JixoWn1HuK1EbFCT1Yq55/iX1Jivg2qUT+Cgw7JXptglsnLGV0hBGY
kDFw24TzQRsEr66ZWGRPsHRuopxIxirv8RHn4RLsY5z4ryFB/F+mkv1rQt0LpwyPW0kgrfmBpR44
ws62YLJX+Q57v3ua29F9HLqpOYuurE5Ibzw58Isf43FBY3dA37ORNK44132XnTMdevQaKlE+I4kZ
+8iNxKJtiRcCmZiNODUCxL/EL6IXTs/NvvAt/xyE1fjRpDUel8xSOaO4XNJvFPfaL5G/THgAvZg/
26uw+hNeJNnByd/9Cq+XH/Fpyr7abo53QD/yO+NmrVhl3ZDe2EUmBS6ykNVrJTkJ4a1qL1YNPxGv
bLpcQu5yO4a98rZUghnExveWI1pQD3cfIwf+wmhnPUZANZj502jiUOgX7DMsPAyk3pbmLpmvpI7G
VkW9i6TAiBAnJMA6CrqOAbs9HGn4/NFMmMNIqXm4w2R1wxHJP2aOgwOlELa3K/CeHNwB0Btx9V9J
f43BBwkeaaAHoj1kVs60U4X2ALWgt/l0kyF0c4D2eEk6tmk4f0q5XXq73nXSYfdW2XI3el77tfQa
NSnrmO8HRr7POnemd6cfgxPKSHxGlqgupNfcF3pd2tvczzM4kItN359f25m1pfOJlWsuMCSsaRXy
T6zdlwNutpCVYFlvAZ4wgfuVKE7IwfJGlNl08vseidKvkRoza9o68Ag/sL1q2nR8ZA1bJNOhcnHX
p8Yi1qk469HC7GNlsgk339ckptMVOKL+1m8VPRANKQyKSyhlocWatvEOiuCqnHhLVRvgUQP6yjoz
Hpi28nCcbyLYM4Vtoo+wLfOTlQvxLtmmnxm99QFGsMvbVDnhHavPihIaCWtpVY9oZ6B0VQ3+IWQa
x0BIgAXBASDiSnXGO3boTSw3g87dpsvYPl4JvDu1ZFt7Sq2NXzcfNUl8ODNVscFOZ31rRDtj+6pO
9jxQoDhE1cZfxH2f47Vlk7H7jWsdteI1ooCnGNyO1ivZgqWRyY2w1YS/qPkkJt7cFUH71LT1rzCF
Dh15+VaHAwXMaPa9ofKwQHCRPt0mTgYrynMDbNrBUNxHPpkxZH0sNrvJdfNy0xCEJKs8L3h9OrOf
bTp0EcfZAVPMsp5sj5O1KBKSm6YvbvDBBdtrf/YLGld5a9kJow+R370W/TBc+oBjFm3GuqU4wbbo
IoqtWX0MJKYwBKnewk7ax8kn3lvb3nA3ISVc2aYPafqYk2TvDbw5uK01JVs4sfhL8pt8Kn69uCfj
6k2DRT4XLi4LUZl/obnSEutk1k6BveFr0c97p6BayB4FJW1xQyNgi9F+nAg0FzFkCYqeo+hF8taC
u6UHYqqhSivCae2G8B3eJdC1OImyftgBaTS3uGnsJ5W15gP8NRkpN23HM3XFBBZllD9Erop2dgY5
uSbfA3I+9zExmt5edhNb9y1Enmkm0i+54L1xeK8xVB6aPJiInpo8PSxRyhxW5TGB3066tyj54K2B
UR6IUbZvwkVejNqFmAuM8F3B6mOrRTk+2dpp3yw95GxgmHg2boYLuhuYtXj/u4css4dx7bFb/xHj
4WURHx4MLGL228tNb+f6rXXjDgfHfBhMbj0xi+aQeFT+uKQNPI3ONvcuDVt7VZbeQ1Pe1Gl/RBZZ
gByBOwK+NL6wqRp3HRQNd53Nsjli37buKJm367PHt+l+qltNgTl3+HU+0PMiJv0ehWH/Lq08/9ak
Q3XL25xfAPuKD5rXmdMbrG9EW8gG3ccJwZtkXBAS3dh0JAqBJ0xkztcdSTjioKY0myka0q0Ih7Ne
jFgnZvRBL47mTLWnStl589GZKdc7bQrzFJmetnhC5/mrAvoB9nnu74tEsMTShcG9qg1g+SDLvpo8
GY5EUfmQCstPn+i/4Ft2fW2Zpt5DX6buDjjQcnCdOvh04K7vgyjm1ocxe6EeWFOajG2np5cb88ON
xO11DePo/TjxuK/bZudAQ9pheJ8ek7Cj7q634mqvFHVsoVniPZV6YBijSL9CazQvwAXcG0PzbL5y
iMafaoGlag3f0TnGtvdFyD3f2M6U08yomnxrSBu9zMQcYiwwlLduQlrSb+ZaZbcg/Rd0Ke6thEC/
e2DI+Rrn2V0m2vjewwND4MJEMU6lKcw/Ju6n2TpPbM8Cv1pWF/bmDiNNk5rniqZZPHtVMZzsrg2A
seTjy5w5Xy012WafRp2FbwyjsAy7+Kcc+nhXBvjQVouLu3HpBAEnMYUzi3fP/YZNa3rGjjB9j2aZ
ctN1x0yuqDphMSEzv36RS6Z/ag89afCQpKgnY2VQ9M57krlucGgzzII9ghQbepqGKCPECkIcwmDL
ewuj+Mc1bcqlpc4Nqdpt4RI/HK34QCH4k234nJesmk5LE92h8zcrOyMJrIbJYFiqF/cpb7lIDkOY
+ue5zIKnETsXJWODu8/KsIfnlXHowCvY/ajpSkXV5INa3Pbo1pa/b+B3uSu2DNlGp5nelL47Xah8
7jjv2TxaC5ASNc+UF1YpeucQ012r0mkftBTzS14baxPkNLrDCKZIpdOkDyrfeiYqu53FQk2C7arL
1PnFXUuSEz0ozV6dZXGPY1sM23Ys66+SPm6SWV3J8mcsD7Msw7fAK5b7CP7r19i58w6zFwDAKQiW
J+R4qrwwVe5qtzvQ3p3cJNUAVWdMmo+w7Mx5xsL1S2IUXteRf18DMaeljMd9yd7yx1IiGuL0V260
nseOUM8yWulZF4zfnCTzGZ67PV0RuFTPzoUV3JFg40aCHesH1S8ugdZOnePI6vdTMaUPMMzrnRNH
4U72DvmjTNa37KrYY6Ylq8ZIsCTo5q8iMJDL6uZuUF5PQpRarv/H3pksx46dSfpVymqPtIMZWNQm
AjFHkMEpOGxg5OW9OJing/Hp+8PNalVK1i2Z9rXQQqKYSTKAM/jv/vmkUznhqTglQoWTj0AWzTbd
cObQCTLRL6z7rDdIO1cs66XQLMInKUH6+Dwp+YXE/l3p/j250Xabl7CjeYNj97GsKsKddSX0ray1
E2ti3pHUA0GS16yrq3IaC5joQ5dwjPDr+eQ6atiC8dIePTGZ4n2oZs899mELWcqpfD77MrN+ccgq
ux1hFP3GJlVTS4aP3LWHqD7Oec3Zr/FS/5uEk65jOGI3aq2egGFmu4E1d/NFtNol1RP7kcPkdKSV
h9mQaMnqNbHPaW7JfHqorgzhI52ypYHcy3MGzn6ft5hmikUHHFRyMu3KuWNFUBsb9vPZiYy+WeUA
sd4IGJtnI6fccM05c75rlIcxsBK1+55xsn4qG6M5876iO+iamrZNPfUPKdDigdwYIR6L9ncsek4x
G5uQEy7TbmKiBGCK7GkGkUa8G2DUO0GU/Gy2KQEkct/2nVlyQklTAJ6MSmk3ptLTKa9k0GgVavM2
hO9vDzEYqLqJ5k00C6bSaVjJV5FKJhFVpYhSCEs7Ri5HDKBmhzLN8jvmm04WqDa/GL3jPniRsChD
dk0CGwlpwm9vivWvqOo8ICmp+04YpTsw68VnTVSCmHxOfYjE4IsAAsHCA8RZdCMztxJLPQyowXum
51CqVcNUdjOi6q1cVXpbq7Z3PrwW0KQV7loNo+B6Sij8ZNX6xAWlAPx1JcQIS+4yD+/HGKudNKIr
U9xfNdLJPixK7TAmIWQcjKyikgul6A5XiU9PVJUHGUPSJzE0Gq7pBqYEVaBBKkJznVnpTluuGNhH
9/wh5vVA42PJ2ZCfBAJI8UswUwriSNsbzgjcMOXAzRU5XcVAEAO/lK9+Q/8u/qlntaBd9Sx60Th2
rLgOkh9L1D238wJiiXdBCKqDnPS/GRMc5TLyxTzknNpJQO0F3Vo+lU+uiD5UaZwi4mIr5GEjoDLH
CeaBqru0lOrgpkv566D3ZNHDOaDX1wRpRFo+xTBIYSN4KcfHkjBkzTbPjEBk4yeTOHLMcq/wcwR4
AO5nrKfXwczLjSPFDJRvtnaVGcJNHXydJP3UMBGFpntMijZ6DCtGDVaIGzSqaVKoqVLAGx8vdrkK
qOAM841DqTb1u1G3oauEth6uvSylToI4C50fbqaas0PkLAazwt/XawBQpaPG5Ma0+r2lueGt043u
rU0KfNhSZlxYEkVkdWwntwpmo+8fMpHkcuNElX+j1nr8JLYQnlpnHux9A9WeA439xmAWWpeigAJs
28wFB9iEHj9S2TgS7DLNeV+NYlyxcYjXqGizJyWiCktQYzk4L9KsPbquqziDelQ2ww6pXi1LPZmM
PndCec9KpfaJBYaBVVx5+zGrP8H6mZgsFivAmED+bn14DKL/aUwdha51KLy7qDPx3lCvrXjlqux9
8jxnsQTWlAs0Yf/BmxWvGV1hCMhzucud0dmNE1u1zbQOaL4fkTg3xr3yUAlWntT9TWw01Umnha9i
FRLDLbJTqvkyP97FtNQUm9xt3RePg4uFWTin+i6Er/Snwvq/6tu/UN906AHwWsQ/9eXxjH4qFbfR
ZyP/qsT95Zv/xqhdqOjCRvWCkQGD+m9ynPjDsH9LqIjzeBCWr/xfOQ4jHuLdIqNjOXWx4/3No6e7
f3DaxAbuWDrqK71T/44c5/pLVdj/zFi4tKIUW9D+DI9RKf++f9CMRZj0Kf8ZKborpbEddUZnQ5uQ
bJvwfxgrs5opVaLlj7luH4VTQpi+6rC3jcao0a+grDUVi8a5GHRmJyALAEGFeX1Gts+e0njQnlks
5CEay/7q5IU84eUlEdfYbr5rx9TfuGaFgFS08ruHs4wRENeUDJQ05T4cnew2RwUu8jArOBzpBagN
aThk1IdwenA4hkOZm594AxfkDTEjjM+IVrm9IdbQnKTH9Hv00FS2E4ZDLAljpECUZNTI7goQ8Xdx
OYFn5AoknkJcXW/4J6In8nmw0YSRfNV4mC5TVuekwLlgfUUlhp9RMmhTqms+BwMjm6+nB9ACeCka
E7NMmegpN0MCrNeR4p/7ak6TDTWD6aowRpZ9VW30XBrr2GwMWoKperS6mCWwdPQvL/ZG5JyyC+kC
9WLObtJJvwYHsNUqjTL/OyrB3hm0bpE3dgnarWKCkkTiDDAYyAUDPb8oKgB4KMNMIuNIoE1bE4qz
1spJcOmXBIOZyYaBa4xxCnOmoFybRlsgqWNdbKRFiUrAhMe9dM6QfMaFlf8UBnCtXdNPxL9h49Et
LfypPc++jlRkw/tkVZu5YfpLdmCN0VKhfXBZYRcdoovyKO8c/aJ6J9zcUhuDZVCsnDHmamiiVa8b
ktFveZZDeeCmJ/dmy79Hn9jyyHEMnr9OI0Tb1WQDpVqVYUPnqPTDeE8ErPuummKQW1KQ3Odjzd+5
nAJx2SPMkT2C/b1yTS+t4HboLbdJ07hysbPOodO1zzAgyk+ukZICFIWR66QiHsU1SfnqR03g6731
Yb0GQAI4SPtJU33oBL/Zh2BYprskKZon3TX9q2XpWhjM0JXOCRyway7rGnJ5IXVj7Y9egwGnGG/g
MnLG6xwOfnYVuZeAAy0yB5v9F7Eh7sDjxNe5XA7PLdIDBB6VU062IKAIXS39cdzbSPjgjF2RCTGG
ncbIH0r7MNx8Z6gebVXOBxN8Iu9tSjO8J5GcrArpa0XeSNDDZY8UoXOX/op4uZZvDXHLWU2W1XsR
t0mzsXrHO/T4d6hjtoEAGVY2so3SlvRGZtoEdFxzw/XDnA/Q6yig2pkgglaeWVNx2oqGAmq39paW
bIkqHWI+zYz5fYhoUglL8hqD+aNkyMktAWPfl+2OOeZc3Rrfxz5BjlsYhpHWDs/j0FVnCeSBgKpl
HMkwosTZzHbXEfmcTT2N7evcutB+o1ZZMGSHcoXLszxCA6Bu1qRzmhqVqthyQAHlNXo4MSe54+ee
N2UNP6CnXXhF1VCz64DvLSpVePPBVawLZTLF4/TgrDW9g4MzqaZCC4zyOpDzYu4iOyn0dT5ATljs
dRYhelnHPzHIyRe0SnkSqQ4Qs1YmcphmGcObxouib2vDbLpVWtfdew75uOEVIUm2wpnIqz3ndn2t
iJBOWwjAjCnyGR6irtF7oxBHccF2TndX1wuheSoYYCsQkW8t5VtrCBPfad5DeCka1uk+yxhR+twB
NrhqbQNoff0ilJFcZs+gSM2XY/9qhVFzhjMk3/UeMOmqsDlxEtK3ueKMoafRipULBg81TJe2IA0e
5eqHqJekOcbL8shWYqf00GT1t6VFYIe1piMyQav9cIGfC2wZg89kB62ewK5DLvDkGt906ZGjrGk0
6/xMIsZQQ8MoWvjtz8kCP7Cm0ZwEK/NwxtU5kY+mPoYOeOScvxSFQhWgABIuGfA3ozVbuS9zZWw5
pSqxRxTzoVxGZhRzPndQw3D8ZlhmfGG1AY9m/WscJu8oOHkHetu23QrZlcXJB7sECCWHEUVnY5AN
dc3AqRUQLH3Pe1BVY9wmF7jpyqlTcn+yNF6wm9fYwhIPNmKGZAQLQHNWXhWZ95XyinsHD8BLPcGx
ZtlweHzclhjfdiI5mwdt3F/Qmck9W6MV3Xy9Ezk9fK7+S9RMdU/8hCjOTm9nXPm8yXtXTH5KNiij
vfDe2vk+tAwsOvh0nGfWpuYMOja5I3pkbGG/u8FImyMGKQ2MxCoj7SKpHMv0rUaxxDmZQveVfiFa
iMsxv08Btq4zg75Z7hPxFRYzI6lZ14GuQJAm4FzfukikLxXkj0CfEHGxNjyrqreuZGCMoIMJuK/t
XDzXXD9/gkIbQ0RLg7obszQPCaMumHmxFT7nInKvbhk/l+gN17CcuJzRl1ODr0rSKw4sfR1ZVdnR
08ZYZMV+N8tNLLCzEonWuXFOdJTnpNc9bmhxlZnVZ0xIbTsSsrG3vZsSm+cuuOfo7B5UxNGhz4b5
Ryb1OAAUkhDx60p5D0G5PecVofBqcOKPWDXveRUh/Xe4+8KYQILr5PFn2E1WgGksffTcoSBxagPv
6mWxrbWBk73nQfEpBozrXAHIfxstE8eLy3zhg/AiLeqebozehrG/DrS9EdYhi5DH1iQvrUMnY/Vc
z0MJELmRF59OqY3iDsQ7FyXMxcpUW4vWMnfoBmSIQDY822wtDwSdKHel3RABTtIxxfBgaD9nPRmI
D5qAxVkR5KEvQ0levDeehEWsW+98jHGUCrhnEfXOk2lDV11uxPpuaE1EPG/07qYZH8ypaBdIF47H
7OIkbvZZTX743k1p+qhc3f/V1JnpsitzlKCZtMLjpROrHfhfGo1O7agrsms8WghNtslHvNJz7O9N
q0DBKqucGMTaFCPior+mVQGJ2mrdOobqpZuf+F6EE6gkkjcyTLLZDr5Xanew6OTJipI5QOgIw50p
AVdBUO2m4eCHblvu1ZQ4r73GG1nkcf8I4Z7UfJrr94MhjXqt7JbJSaexPDjwSndck9Q7aJ9yKXnV
wAdGXXzsalGfHJnyruKaTADImdOZ8c/QrykX6h44wA71qvZ7+SYxqkWgePtF3k6l+SySsX4l6Vdd
/ZZWq9Fp5juvc6gpZ9uyxsCuGz7RhgZqONe5+11a0EfJoRvTndaHxdFfaKYNDLJ+3ZCC3nClo5+M
xjR9sQZPn0rSwYjYU2gba6r6L3JZibdlptxtiUL6sFfn4aFPld79+Vti/4JvAFnp3e/dZzNRsGS5
PMNaLE0LwEdRXb0hp3muzl+4Tj5mMkeIpLDw7DMN4J0NqUZJrR6FETo+pb5TBRvSNPjg6V3xXyvg
NZDMK1xZFK2Q3ccH7Jm3xAnrs6+Xi1ezdB773KkuXF6yMxPC7A3zoZ2sHUZtP9JpltTQAflfk/e3
73BPwvhqM8pZvHgS07EE/Ibh2dfpy5aFoTPPjij9VZgdfoRZ1OzCQgAKK7SBw2VUuVVJ7N7z74o6
mvc6O9dPTW+dn1EUNvREUS5J1+MsvCZwcj7rld2bsbEzSh/Kmd8aW+A3ydus0WQnQDSa234qffY2
2d/01JePLvkczAXdfJ1jU/00f2++DYzCFX948P1DFD4CVG2/RnBvFxe+2TPUnJOOM8aB/987n7KM
qRsYLE+aG4GpFt82GgnzL8O891J3CAQUafKztGnwOWc2XT/o/mm677pkPox93S7dNdC/Vlln2G8i
0vE9M+oiKCPiZmDULqofllar/VA28aUEqvIQ50P92hCb/W5r299nRarferKL9MtPY3QAWtQSw0dz
poWgUNFB82lAPqRFLfZAZEawAVR+ruxJqg/JJTlD5VLdGWwikODUIZkAr7FNzlwJKDZvBmPRW2qI
s0RMNjrtII/2BC+VoXxRVYFZ5XMNhcWmtJA5Oh8dg2QCPgnyZc+8A7wJVM8rVSkzSSJzOd2YXQLK
mR5Yzy6gBg2k7R8jnsw9zt7ii7xY/rHcslFayIxnQWeZ2pPomu6aMxh8Tcd6OsASxkEMdH5a2yaV
m5Xe2nylFxwxoOifWgE4r/QjYNuxKUscs1mZfOZl1sg9mJvo3iipOgTqU7nWMu5PHjqaFhplOiav
S06GNUuuGskUpidZB5pntu1TJBk8Ye7WxHNih/4jAClK9zzMIGS0OohUSd1zICl7sz22iIE0icyW
Na2i1qmggtSCtGsRa1xNZbJsynGO6qVaPhqO8SIns97bQ3NU7EifcYqCtC4YNTEZphAGHRsotxVI
pfDAGTba44yoDZeodUhlNYnL1EekzmaEBHxqDQCyDUiG79xjGDePY04xCuLvUiQiG28NPys+oNa2
P8coBaXZpKwkGoOIh1p3xUtuL3cKRRonYLg9gWnydKKmnW6ec0dBOheMWvrUbQ8Fvp6a/EY+3vCx
Ggyiaaag9LoPP8BKxRjanTlbIiO1cTDR9qNXtxuxZPbugKH8f61khYrV9K/ELNP2MDT+/71k+89m
+ixwef78/Y87fP/Xf+p/fs+f+pXr/kHDkhAuQU7L+audzLX+sBzTEUhXHsYxazGW/rd+ZYo/PHxk
zp8ClWX+pWXJcP9wTGQtX1/0reUr/0bE1HbJsf6dfIXj0Yc7aLsmLhDfNf/BTZbq7PVpCjEr6TXv
3gXaCIZ0LvIt5QLJW4RY+m4Dxj8UToaq69cIKxAuWY/Tmi7P3vCJVTbqyWdHX/DHiX8rGaS9GUPh
3s2zsF5iO2wvAziWw8TF7auMNRN6VTTydDfAs3ObaLdHkGZa17qyvtNxNqB+1J26c+BSPhOmRPaN
iX5B46nwOXhO9mxk+hCwinG3ZZZ9bWuTmjQ8Q6heTg6VDD63Q5/mjchbe2zYQm8MPJILZv5tjLMJ
MK7f0y9QoxP3RESTRInAcQl426lHG3HCfLzMvJBzmc3hnkU3AhJl0uTbAnO2xjQLzLpLNyZi0xOH
YJfFOFF3HfbhgAx64Em7Wk2xI84Mq6uLCWL2OGbC2to4l+4so7eWI3f61CuhLqVi/pS4TgEK3Wox
7rc6J5m6f8wKhhlAiiEKZPj1086+C7smI3o64v/nyP2uN5aJalf0DKkMOAdGnd5nmdns7WUMxs17
YuNT86efsw8x3oVeiHk6MCR8RzW72SZsFGYdSxgvYVr9wh5e2UGhIOAREEmHd6HG6KaWEr5Jhu2z
H3bhT322ZnfFwkyhW1wv5W6TYOM7EJLK2y37gXjP/aUjzvrdF+fN7viRTPUAT53j0bXw+vAce/l4
8kmKbZoKhAuDyNmLg7Lz/YAM2WSteUY0b63BkixXaKUw+/su/6UvLXdhr0PsECXo4KYti7O5FOOF
o10/ZROfi1XnYt3GoJtGwvM0mJZHMHLmJQWpBGq7UK9j4pCt9Pzu1e2T+MZhOwraWntEFKxOST8Y
vyC92qscgAIaYFeDkUyoKX6grPZbSu8DnEF4qZoZihIM6pORmXbQDWBAVyopdX0JbTH8QeO1L33f
JY+y9HT4pe10hPHi3ucVjVlaSgCp0CmrdqP+3FPt9dm0HUgGwxr2UeyBLp+qRRTNNkY0hvuS1Bjq
Hkndh+Vwfz+oYdpOjjMeibnZ79JsHEqH5l57c2M7vkVVlh6KdBg+cqzOn0NInkViFwjK1vNOg1m3
QewPQerYD/Go149mP+Zrv8v6z8Ss65s9wiFtys58r/oqIrrQU5I+maGrE1Am+WXl2BAD/q/VXdTa
voNZxYpOnAQAz7hNdW+PMRN1r6peQ4riQGXkotsbNZFRNuIq3SZhRsmNmBI8NaA/IJXrEQHh3LzH
dssUh8gnP68giExgVx9uXCndI+aQKcA6UF5CV+FoVIlxHwPZu1RFp2846jfHtncb8n3YPuK1U1XO
JZURXKUwYyJOkFP/6TkTeGbUjYuhE/yg9armYGUb0Mt6jp+ke9sWlx2IlOGFGsqi3umOJ7I1s+nU
DfxJ94OcOxN9RmZCUsdchoUdvUkXg/qJTZmZYtuRpC0IPiphBxXJUm9dJLLaIIv18XYG13+nsIOB
2mIpfmeuMNP6NTo0x6f2kkWb5ggtlLs3l/gmZvRwbABPnEEewvi2JNUouB+6h1Hri+8W79HIKDky
PqzGHu1VUbXyncP0clkxU9gpbsHJBRCz0bnvU2Fx3ZSa6b0wObHvyA8Nb7VA0zpSA246nBTL6aAN
wi52KKemvsa1oqHXj0aJb7hy3zrEE2/jZ15zFcuA2yynZdFmjsDCiFeMKDTU0G1n9FO38wyxzIIN
X3t35IgWk5ZA7lZYfslXgmLIxR5qX9WsTcjEd0OW1HIzjsocN5Ghc9hutSFpdhPGMuzHhl0+xU7P
eHDwZub0TBvbL8HNj/tJ5zgS+p1tqKdKCu3kNnO+7fJKNctpDI9lUgMiEREYUDCPafcew+6118TH
YdcM3UCvddpOEqeZhvQpWjuEeZrpCVZE0+YwiAhxxELkHHRdYedsmQz8ajSneOWy0O64uUzZGnM1
TiDOztljnLrha0dRwCXzrV/1pDWfduw/WvBzy9UMV4uxd1Y6W1Qr/9jZ3fgxeT1WZavrnQ+rE3Ry
Lwaxg3AigPCxm2G0RmR8DFNv9q5RGmoo+VauI9C5zbD1E59foHGl2qWZr6yVg2NlQKHIkxcsuuOJ
doXoJmA21EhgSHmMXlGvBm4eP3WPXcX0h1GtySXRmyQH+6KlfctsxmKKtVJ5Zx80jdztquFFeKuw
OD0DVk1P3IJplKcVhAewlOgTO7yR/S4kv//SMUe/pLlNcCjVRBJvCmLEb9Ca+Zldki1HRAqrINce
A4BucbEdSxT0V2yYuXWIYa5V69CFPbU2fTODqk5k7ZwWfHCamQHM00TLD2j3UfZdaz1XENob5ju6
mHhjVKhnr0mRdSfWUP1T6Gp6xXhOK0lhcTcK3Tlh7S1MJm78o3GblmP37vP9D23PbB9dyB9obbO1
9zpjhzImPONc8tj0AHWhbxX+LZpH7UVUfvZgmQRHYbyCb5PKzC9mVoQMIAgA/mTRVfdgv7nQ4KdR
t763JhVwCy4/tLSsDtB+UMJrszKf7JiWDyjpqfZVELgDxuuIBvS+T2/R2gg9jgq4c7PPWFZztdP6
njEDsX0fzmtcNvUuMXLxpvIGH00hip+utLz8ldkeAmwzDe5jglYebd0B903TJ1AwFQrZ1Zc64XgF
lol+xcgeTiHwHhrtE/kwKInzpvUGUuGkMaHXZV98Vozu59GrbkOr2AV6xf5Ovfdj2kitWqUU9yDI
1/rid66w+2luiu/GqDVxq5KF70zK3j33cqZQaQxdN9qruPE74OIGNpcUzUcFobTV/dJ7wuPpGktB
eSrDt9AZKRtA4uGumfFXhSBR3bp2dB7UEPugFmI+96SBS0Iacb7Mo2BFFZ7VPnY6FPTBCxEFlGB+
6cDO4I2n8/cQLxUtaLdmvbbY4Xgy7Mklx9rpW73U6Zo3+5S6+1mA9CWBRAFC0iT3DtYN6AheYSAb
uuVNq33mYzqW1zunGfmL+Flak2ka+QtVVhWjqETeZxpn5g/umPxYEcxCBOtx4O8rJ2iplhv9wOoA
LTbr/BtId9AJc62x+CnjLp3N5JJNdjgGmp3Nu2RI7D07bZVigNARj/IEw/WuJFl9DpmTnUZLmf6a
WYxKgjiW7QdSvySaT/T2V1b5+c8Q+NXRDrXoC0PrNK2jdvbPmCrvGBWJwzQjIPzvpfHPW96/ujQS
tPinbd37OP/8IT+z//h/FfT++c3/fXv0/xDCIzaEK9byhPU/hCLX5l7JdZIF27SoWv4Locg0F2OE
TlTJcTHCc4/8m/uBi6VJ3o8wEo+r+/tL/8b1EZTAP1wfSUPRDA7VCwOEqRvW4o74a4rQxfuMuZpu
TFggAZOfqYYQCBGiItHygyeS5UpI/zbUtrdztAHmvhWqwB2S8GA4tfHNNl7s2XSgRRAd6nI/31lQ
2z7opAEQPzsVXmGV1j9qAim4QOt2nQ1TdEdzwPjo+VLbll3xG/Wgmm+/CKfdKFv3EftsPGwwE1kI
n2VurQrLkVsAItvJ7y6MsLMT/bA6B3dHHeo5ouMBpX3SC4qjKp9GTZyslR91b7SZ+N+p5nSMqeQU
7hot7LZmoYM0yJJs/I6YznzQldkdcXkYge2MajfTG7YnuwWFxxDFrh3rDoNBBkc79u7J/wybiVHP
vpRCD2q0rdVQWxyHiKJcB4deUj8Zpb7KgagA4S6SeTWHcfXSU8H0M65j56KEZh5rr3ueW+EzGWi9
q+nWlo5yBajJcMqQtTyGH0sFR9O4m1C2bCxTnvQ7b5rGNTO89K3FQ3zkAquORWr8aMKcCsw0jlEq
aRiJXa99yoDxQnVsQX9jq7JXUerGXxJO0qsRRvih49Y6R6AXv6qRRXQ1trb2q58cdck50ryV7EwX
PnB+Txs6UFhDc7aFdTcgB0CZ9AjI4FrmCiq8X6OFV5NzHBpzhi32WKdLLJ51Ex8v7WhzRmVwbGIL
5oG3+ENpxZOVGwnufAx59AmLN1oT2FAdJvE+uPCgwiK6XLvbfWXEdTCYPr96ZFCYFil71fd2X1FQ
bCYnWwtvHkdsXAr0lxDQV6u+ZRdTszTfR+5g+87w0KotN196acGgNx7RFAenxqoxhhxcZgs81zUC
gzPVJrflT5zyISe3orLvdL1PDqCSVnzo4lwpkZ+Hcva/SddEL2Ov47rGYnibRiM7ejJ0ngeaQ9n8
R7/mxqsxzauE8YC6IQp8ghodPaXVEBVvuuq7hVToWzRt6l1UbbFEGHezSTtZMjgjSbKsI3Rk8NTG
ws9eMtc36oAC53mr5fzN/EQXgdYU3cdsy/KkeV71yJnZPQEO9bbTIJqVORJnsJbSNIx+1eS6t7SC
e8nBDkFUI+3VTEkw2Kncwa0vXnSqpu8kv51a2/h8kOvhDa9qmUR3gICjqznr1uJJWlzd+A4jIleN
2LXmgEszFNO6A+27dqFS/PBww/sMwLV6z6TD2sIB9mhBSK9zV/5o9fFIhVKy1sQQGEJp26YcLnlP
t4+HkRf+oPOMuzrA6GQcKhz3kHmkowV/Efiuf5q7/qPo8msZF6r9r/80/9HzxapnCIt1WrfpJ8dN
9verHh2eLsxFlgMuE4Zc9XaJ77Ci91XyOBbVmSO+sR5y8GVt8ZZBPZf4Jprmzpp1zJB0BXYnNfcQ
XXKJ70AW2cnvl95LMCHpGV5K8YbNotm27hCbuDKllW+UaigR44SYPvq/3+f097ttSogOh4L3wjkQ
tjSPgz1BTBt60yo2naWlH//8V3eX9OvfC4ZEfqwlz43tzWHz+YcVf9IUQmIaiZ1uR/jIcQjlqfmk
eeMHJr5kpZfMkm1miWe36ehIhl4HWAoKI09DU9EloUV2o2/sWTKDmuYQKoxhD0GTZP1PTorRs8zH
6eDWw97i5Febcz2uja758Bi7lPBhdzDojkZmeOs0jX/U9YgxZtbz60jN0gHBtA4AxECS0lt5NGBl
AqZMe3jwDY3hRd+YDuYZoWjFwWMWDtRg9g5NSrY/5tfOHfwPoCHFx9SLfjs4tCMYEMTuMGPUd8zP
5FYOer4r1eC+AbAJD05uhtdpGZ7yX91tM3fxW6KbFIz2wxwQWfI2c+7YO/w48650Bozw3jAdIkme
bTXQZ72NlBE9TQAuemaN5CL5sQcEyFRuU8vXd4tLgQIW6MeZCSGNPYjcUtOGzU0ZtJpH0FFvHPH9
oOaK88sRfhTEKk1PIHPx7VR2cuLSFjlrrDj2TVO2ce/PnvZktgyeGEhE7C24I35SJzveHDKIN9st
iyu14M3Vo3jhKOZc35u6Jc9hLZo9yuUhp9BC9dIL3LJRwIzbUQG+1xHIhmF4GIc8vaPSoatXMtNj
2OOosgxwKAGb6uapM4DIIDpw0KUM/stiZvpchlbp4098kSqhD1jNNr0MqmVQlYtquMxEis9zo6gq
lO14KsDnnHNKYwjuZfHZtSliXzWuZ24bHXsG+HPMMqLpq7NbDeE9OkL14CBqk4zQmYXaOV51m3TV
pmlgqflk6a7dIMuLQ/Y5kC3VtaQWqiMDVlpfllUkqzH70aIMeYr4b3FP284TiclVPTDK0qLpMraO
hhPAhWnDNrGeWKraZc2KHFavcFnHzEiXcEo17Ze3rHD9stZlDTCVoTFWFvZ98DiZvZt/L4xYIlgk
WSksSrVYOZtlDfUayTqTxcbMQiAZxBnLeksGsHgZlzW4MazxWAwla25lUG9QhD29gMPEiq6X9WPv
1uVpFnr3YSNuBSXELS7n2Cfz3xtDsuwR7rJb6JlOGUi67CE13AZt7yIQxWv1ewsSfoVE7muTQjvU
a/d5EqV931aZFeLAYV9DM6OT2yv11N61zI2PWl8Rj132yY6SnICwEztoUUXe14CHj62CZ9pkn4qr
E7TenjWUGr19GQI5CunYiYPm95Y+CwZ1Ee0/kgxU3G91gi0UeLR8RO7vU8O0HCA0ThLzcqTwfh8u
iErSBda5diCXcwej3lXoy5pR+hImwwnjbajOGk/MPWnk9LXxENrEk6FC50TtKhn05F4OSdcZatV5
zPf13rfWBY6ZcbnppRfbaJODqUrgllFuvMrSse6ATXqPxaSH+arBxLdFavd/1nNlXEc0vR9MMPtr
3E7xi0ZO6ilETGqDSHSL50ZqdHnRMkb+wYq5bPoD4VrmxneOZnb7hu7EC2c6clsDs8AFIWbY1xxU
3bEKq/xOdT02t2pwmy9iFW8C/TOgsnkRtugYoVjO07FI9vLZjfjFyVgZB4wnMOQlKV/gk+hYFN1g
S8H+ql3tGfuR64xwkJPSuUJPstfYOHk+aFh/xmeETawUTXYwtZj+y5yyVSB1vUepsF5168wfk/bi
VCBDnX7w6aCMxdfoz90PsywWCwcBVma/vGjbYZgJ6TqoXRgqCe68TijYO3h5vMVwZ+IjUSf0psbT
jn7dD3u6/MYjtijnN9EIYEjtRMS1NfGuj951xuP4TISY/EupAS2HhHzEkEUTy2B5zoOcjPQjMWlN
g7VomyuzydVXhJb0UXWq3QjXyjZ+meKVcSgCBUSF0diwNyovnJNR+Tz8mqsytnIRP2j1wq43s//D
3Jk1x41k7fmvzJXv0IFM7P4cX4SrgNpYpEiKkijdIEiJxL4DieXX+0Gp53OT3aP2RNgRvulpjZos
FJDIPOc971J1GB1SBa5p0eZtwtcIMR3cWjY6wKq2V5NQCMAa2GdfJXTjFACajxwejUfSN8HqmPJY
dZl5UnM3XGMBjPBZgCaPuMHxw85ydGSc8QXWRBGXgj1gPGPjHGWf4Oa9Ird8nifixzjAchqksCqP
Tmu5vO2oojZl2kT3IP/znp2HwjrM9M8pQXZkuhafhVnLR7MRw0ENef1ltKz0S9jp7QsmD4i2ce86
qH75huD6s2ETMsyczLKPllldQ0z+kIJgU/RPw3YgSTAgpQSaTphjAhDoikBF8OPK1lFSmfXRtXvO
3TCzTmB6xmHp6zQQLRThRGOd6ospr6ZRg/YW2+F32eJdGtluOhLFuJb1SzlRKE8ojyCO/xiGONwz
8tZ2NlLJc9IWyRVSy2i+GkqtusdoWz7E9C/TNqmm/kVlDAK3Rta557KBngo70kg/kqDAYGLBAWmT
FhnhnKlJzl7FKMdLa9wptdCyE9/xWpvfSkxqnihC4526PUnEg7w/Hd9d5eERY7/0CmPUfuvyRWfk
ixp2n7QjHzIbimWJhjwgR7TDrGOZaJwMtDAa+O7keXKfWHz+pOfOY0ElmKD/mr3rwitnDBOI/DHE
4HyDHCv2JLWmG4il2bAp8pm3tp11mzY0ThHuV90xzbuvTOeuF0d/XafUgRKheOqV5nxgYsvxWD90
eFcDyeF0fS+jdoaFkSTLj5SZ0saI3c9FX1JUD5ztiyyFP6p23Lt6Q3B0bEx7fQ0OJ3ZJ/wxDndRc
jK9jNNeqZUsi2y4yZX1XO2EBbZ+RtYa9uds/AE8sDzZuZfU20/HzxiDrjLiOuSHWG/ltXlbyGjEl
etg11YgRkiThJult34TcUO6h+2gfsUAxbiFlj69m9hx2ZKiM9UTCR7TENrF7s3lok4yySCuvC9A9
U29Ihe/y0EGZmO5JZoatN0l6jKnT/ML6MUNiS3cenpGQbmcyKEbPEX7NTLIfgZEpCK96iTWqPjy6
2bdqgaAUAe+D6DWlTF9TK7rJsqJEn1Xrd44VNl9ZXxxeDJY+jDigXOVxWT/qCnITeCUoBAkZGnFC
vNFfF6sbP9mFZ3wN9cz6YjNI2vZQFY8dMPmJkyA+23mobREFE/4V5kQAQ+beIkM49isRDltRMi3x
Fb1jkmvfE1Y8f4MwtJAaERXHdjExT05tk/xYXFuJUcVqn/PUmR6B/RAAl7jkb7Fviw+ENxcEdc9N
YALvMkD2po9yCOu9pUFPx1He3OHylR5MjORw0qGSnfNwDlQipgM1pI60rYKghlpDD2+tvKyPZjNM
uygfzCAjcvRTm1D5KaSWGFYMDaLB1jtEeR5DT04gR5F0RX65VaD+iiBOK6SWj42a1wnqFEXwcor7
CEfCcoNT8LJT64GL6z/DOJF9yiHVnbCnG/aINSnIMoKUSA+m54d78YBHRxcsQ10hy5sGuHEzabmI
xBy57XNtxK26y3gDs1Jnw8Z4Wm3tgTeLS6m2vVfwE6qHzDOHpfF5LhO41wy7v9dRaRzijB0iNArY
0D2+ixq+vodSgnL3BA9shJsRV5+i8fXhO47bKCNNesgYD4swvC6ZW5Re/GwBzKSZfoywRhNxiJKH
YZPMsBSAXAuKT9pT7GBlllvLfALhK33Kh3v68q308pF7W0xEamhhcR0jZIVErxwfnGAJksmC+y8T
8tKR++bIdiyHWxCK49hWAutqhepIduVrHGIqYY84XLnGrG3x+Rf1xgiZkpfEkP2QeZV9LRM0DRvY
2uE9wWYedjZ2fkuv0l+ZxEQdUXuCLDHXhblIEMyWYMb6a2GvaXh1Xl3hdpLS/9XpoWb0ckBJk+9N
1Tbn0ii7Q5cQdkCqCcE8DvoW01sYiqZizxtmfOpp1257DQVyySQ3SAqwjxj6g9AhifdpdlVJ6zR1
h9nlfg6l9xWWyJbBoXsvS+UBkDvpZ+wizWOT5fnZSTo8H3kFj+FIdphhj8NPdPv79N+jl+ovYAD5
V60wTFSXabHuSd17J/0a01KGoWm4e22euwB1uP29hSacbBqrdD3iMOh/DaIG8XIsYfa2jJfQ6Ma1
RjxPNj/bhJm3QW5acTBj/M1sYcUrwXTwYB8w6CE7PF5MfHsuCKeO8w1hRhMA4VzZ7inBKIc0FjpE
bXvp8f9v6xb3L9XNU/HS/Y/1F3+v6rlNorj/z7d/7H7+mRvqP/VPb/4QXPhSd8NLO9+/dPiQ/xOI
Xv/L/9O//J119Xd4PB5r2Gj9axLX6Qlh2z/+21NR/8c/rp46iLvtG0LXz5//HZK3f3PWwADqG2Ga
Fqj3PwWJDv5gyA1N19Ft/sd2WRD/JHRZvwnDs4TrAL9j57+i9b+HBhjyN+lgjgeUb6IMQ5b47zC6
TPutgyBqNZPBkY7b5FtQqpRDJAZA5H0RMkEk9m/EXUo3icseEnVTm5ldBV6IB+xGaOR/bIbOzAKm
783VPJGpjINts5tjeMXIrWJfn4lUz4mmOeRM9wKtD8Gnai0S2FBZpJZTKDKZDzHoaqp+PhaSajBn
rPWFJKxu79CkBl2jryKTtvlAgmX2JWpDhgEOqcbFWi+NQ55deZHnHctlpAhZ6yrkje0JOIUIY+El
TwQTYLSEb3Hih5eyrFsrNHet1bK1alPkqm6qSyk3rlVddSnwHGwcz8sQQTeBSNK/RJdiEFRSPvRr
hdjPTTJfNY0iQaDFH6VGh7kL3Srcz5SXZroQR+DalJywhSjBM5mNW+KFzX21VqeEmCmG11SsTapq
n9St5StD8zQAPzAOYq1xMyeeH4YMUuBVF3VI6JHrrFXxUOjrvLAgmBKj/U0sVz4rjrNXFjLlZxP+
DrBHrfluhEFGeqnB12q8SsvsCzhH/SVKvOGgr1W7Q0vgbHUL27dkre6X1cOJbL6k/T5gHX0yBpwR
9pTBmY5kCfX+qCkICDJNtAdNK5zpejEdhiXLkHuvALIYbcO7W2sWrb2ykXw/aXWSkaZlKm+rFX2P
mCTX/XBJ+S1JHeMXPRhtH0CX0Q4lEE3AbFf4S046erz+l7hB4vJABrK8B4YuXpuRp+DL1qg/4+LG
MeZ6mE5/Ahx0CShUEkrMYuM3ts31glmymbnRh8J2jKNXNPGtJSktRd2GMY+7GvGW19oK7skQz7ch
sRNsg1ClTH6lvG25xKcBGzxARrQLOPaTmr1xUPtRTyGtDyG+yQ1dfnuMTW3eFbEIX+fa5po6mGtQ
gQQhcFvBUomDcGzkvWN34RP7ceaCVWv8YxISXC/BliD2Zo9CvCEvOEz6ztcBxe4qKXPgCa8moHBY
4J1IaD73iZlHr9AJcX0Nq5oRUALTwaoEnXPewhGneV/oKjw3H0jDcjX9B9jR/LTQv34y+FjLrzRh
vOrgArzSkUXUATa23bgqNBGMGElXY7uqCMIBDy9dw8+pWPDCz2VV+ZOyTEYjBW7rUnNc8zZO0OX7
HMxRGczpZK9Y/YCNOOwe6yNuFtm4MWqtoFe3ulIGqWhczutp0F/GuYGD3CeCzNJiiTCYikpn5WWE
1kngjtwBInnefT5N32Eym8dZVNZ3s1zyA67O/f0UWeDjAzk4i2jMW24KqIpw6+nzpKXRE6dpcsSh
LDvWc9iDa8FS3+Q2dulO5klmUl3Bd11i5NWUPzynCXrXFWUsJ6vFCaWINfeGOhjBYg+MB4Go0bH6
UtXeSytBpvyp15jCO0n8nCzp+Byh3d7ZTTjfLMAht0nZaad+topbwg6gFkSoazFwEbP5TWtngy7e
Mch/L/ALOWN6r8MhqwiuD1Oy3mJdv+1SAbvE9L5BWUE2W9b2eVH0Ge5Aznyi3PxMrKL1zTUjIhXL
FUdxSIUjC281pKod9h6YHpnaikxArlIUgUfIWNUJyl2d+y4VQ+L3jgzPaepMh9lO3CBuwUmJGHXD
s9WJnBGVppPRiXVTV6/kN/2JeZP3yTYGWP1d592TGXM3lzicR9MEWdx0y52luTNG3NZQP9iW8q6K
OkcsaprJ90rGJkSlBfGqGvQ9Bl35UZHJF1hd4gK9V9lBJprl51Y84v3SjD6vehtU655eztDmmh4T
FTuazK8oZTBUT4gf3luM5KD85cmNxr53XWCJ+8HrCCCIrVD5BCp39xb7/G0TqRBhZkX6thqyZk9w
lXlrD2b2IDotfhEYEjFQSjIVDMjzrxbi6g44AiSHobQQqJuRdgK3gTcxyrKiFWQW69djkV5HVjFm
gTBGJOma1x3SrEjuC2rXI3yoO/I58Vpht4Q3C8VKfuXcRjbdZvTrljXbd4vOkBALP8IkGk8vTi4S
tJK4qH4CXqni1zTNonv6rvBB1tCFeTvAaSJsAZiHtOaNgPfyNBaF/YX2Ay8bfXG3MKCLg2nCy8US
U2iYXhEJtEnU6NwVk+Gc83ax/dxYxrNqNRMWMEFvuO2J8IR5NdwyPULXJZNkF8X4C+KXF0FnFn2/
c7Q0v7ccwl8SgoII5a7j9gX4K4lvJMKGJw2yHxNPKMMSkUNlbVM0/Gd8sqJtNIew7aDTnBe3UF9l
F6U7pjzweTjF9sorqnWPd+Oano68AjxLS4a3Rn2zuDbOG2hn5YuhqhKGCdsvPDuAft1FWNkMbvc9
XFxiBZZS7tTYaKfFXYaXAsxyV4lOfWwjjqGNY6IVNwAtT4T4ZU8khJF9Unoy+hBhLwbanrfJrrHw
dY9a2zgOA8KxTVc7w5UzCnGlCuaEnqYPmLekyZ5QW3Y6jZ85JiJi1NaE023qxvae4PL01Nluw93s
m0/hWLbbguOEAO4ZGfVUdfej1TI+dUPnoUs9dRurESSrmDmvKXSvXPyoGOiXODtqBP4ueIZiQGY7
Z49z9fn/SYF+TTBm1VWv/duS/P/LCh1fDVbHL2v0/1n+eCqeyn88lT/+ccPG8/zU/uPY5fyx+2Ot
/l+/6We17hm/eZaOpTN0mIv5LmXxTzdfj7pbR3/hmCgtHGypmWT+Xq0L4zf+H4k7MwR9ByOR/+3m
S/FPy2djqC4sWj5+779Tra8+JH+cpsLmo3fkygSjSSxO+G1v+DMdhBa7SqZ2H48w8FKreC7xEgpo
IuBNhy2M/SV/xeen3i5e9syLITYedcC2YVgyJxUmRG7Z+eEEXzIck8+qmtXPbvBfdrli9aj/g8HJ
eon4UOlQtSEhEW727hINFRK/mKEedAsqLY3Sl/DKBiu+2IO63nBkTzd2N/hdJKH/2SC2f+jE/qLN
/hcXYOICxa1ykKq8vUcyE7U7mjnyxbXUMxb0nrXI15YhDOL1HR1CGBeD15+GGG/bVHAdv76Ety2V
c7kFNiQ4YVp0doh13l5BZ2InlBd5sycpdt6A5j1Ahr5JsLf89eeY79Q4v3+QzceYRHqjDH37QfaC
w8c8V82+rBQC3ahfzetq2ACFt6PUJPnQxgmiAXzZqHHEVjLUy7M2yTsLjOnMlEcLDM0In7rUGoN2
kvq9kQm1dVh9e8+a2uNASOy+Lej8tJqdMstMciEZFm3aQfWBg5h7Fw7yttFwZ41DbuTc2F/xHTnq
bef6GPxx3JTUwJqs5z3JavH1HH5aRogiGGs+EO1k7cxpnG6mLnsVxpIFSPefS61w/bwNORa8FxUX
98bifPn1nVuhlreLlFdCd6Ej2Hj+mu76BP/AQ3OWEiOYpAHDNEIXPGz+SuinD/LY07vJZAt33sNc
Q3m7X3+uXFf/2w8GAoCwTmMPm45t5O0HI+dwajIn071LMFbg9nl6dNylP0hZS+bzHVILZ1FbXO6s
q2LmhS67dDVJKXmgQNNBDj2Xw9ADM+OdAmzIkBA57qZqxnmfpyGDBZiB+A9qlOF/c+0AFe+v3QaR
YHpH+WKDYb29dn3wTIy34xx8WuIfol1kmNlKf6V+H4cqyBh37UH+ihuyfY4KWdSYRSd6xg4nFvv4
cwMyJ6L3zjbjQqyNBzoYjS9NMAKD3dxASWQs33993X9+1iYG7KQ/SDYkeHScGn981j31JgN+Lnsk
KA4eMpuCq3sEa643usUakcYQy1XkQ/Lv3s+/uGHSBL3RbQvSo/fuYQ+yIIDNa/N9CEuMitRzN97a
9v36+72DFdkEkAUCcLjwPTGNt9+FhpR5XRiMF/N9PDvl3mmb7ETn+7OG+Jfbumv+eV8HEveYE0tH
EBAi3z19gBnHiVOV7yuZv4ZOCOhrd15JBoTRUXfxknvayNmi6P5LsWSnwspfBXbzd/VChmM5xJw7
s7cVK0ZQ9JYGBhDph7xjkWfpKKHuawmmtu6DZlPU4Yl0I6e5PSbMzPxsGtKNolPcgXaCLiD1CzBe
3es0x1tLTNg7NZ4WVAn/WRdb4qw7XFo6AC0w6GInalwX+hBjVbnwb80EDkGKC7xTSkRMYJBJxF5t
7qTsPk89ntyyxqaUXMznYkmerdS4K+olPIXE7yJfSl9pNKsDygVvQ97TQZsw9hig0+xyDJrbKHQ3
BLExujPodDPlseAE67uMOkJ26/zZVqxBM4s+MepnYpF7DzGLAz1MxnUbd2XiaYcxVvDBZP8oSt52
uDLedp6z7ks9WQTHaUzepglH5Mzkw3IvNZ8QnbMtS4dswDF57qLJRXXYUJHCiYApZn0rW5luo6GQ
96qi20qThYN4sTFCyNNXEfOlVdS7PrbdE25I/X0rsxcbHfeqfjhHI9MPBVEeEUzdBRkHiJ+CYW2L
FhUZ7Y1vYhW19WLD9S2shLYD3hIQQ5dyn1nJM/AolkJrFq/WcQLnM5PVwizOVl5/TIX3gPS+4DVs
ez8LXag7kO05WBRiboNHU3btvZ3AmSvq4QMFxj50ymeUHu2xG2qTKXveBd7E00RuVW/bJsU0JLd3
TZO/ElgmN3ajrppe0e9lrzk94H7qZogUJl+0Gwvy4Yzr0GAF4rbjQhN0bjLsXbY4C3hoFczMl9hW
+GHNOq/WI3OuqK8ywUfNKnvVIjAymycLmPFqiWodXzbWZ4wi6Nih/wOKMQWawuiVMAAWASgbdgKj
iytndZ5o51cdSYJrTPEMcpp/wMJa3xJg5n7sZI4NbfxsG3p1iGcdqI1uQu9xVILBJM52SuLp5cFQ
Gdx0NgBbJtjTLmt3Hlk2KE/kpqOp39Rx8uyG1IxWZNwZbu7t+zl/dnUmPRkrXPS8GpeF2y5cd4gw
y8FeBEKDDSvZfYDcPGNkoWc/XwH8cp+FMO66vu18S1F8IlxdSAfnYQ3JWm2sDIaqIMTTjVlBKIoZ
z0HsRp6J7b0k2PFM2poWID1JtjUO637VJ8+XC+dyqWKGctlh4D/vsdBrr6Q1dF/IxySNodfZr+uJ
V82J6+vK8xpwEp6dg8glWBrnKGxIMozotE3S41qZTupcjVW0TeGB7qae7KuCDUzr1g3LsfgZvgdL
N/v5gAvdupN581jVvFf2lL42NlcdNunzZbvA5vO1hz+xcRU7QZmSA5V2UAP6nBOEsS5Kf9ETTY0d
wIZmgHpooZ6iSkbzawlMFmR6zuEM+qQquKAXIgvspX60ZHW+nE6ezirWcZ7boQ4PT4hMXxnchrcQ
wHcFRdI2wcYgaLuy3lmT9NlPf5RrQoQhWbk4saI465JPXcd7bGr8XsVeC5DPDUGR1Dr5c099tW5n
c8mNiHP75rIpDRbbC7P+x5RMPhKn7RtZ2cuhya07+h30eoJXBYrFM3GmEFUMgr5zxcO9dBPxeo7a
8FSC9dixK+fm8g2xpX9dXwlC5O7Wo4CZxl1fc2GXZ1BL7yYpNEKKy1CHQXZ2I+IfQFFZNqULM0Ra
RVCJ9lFPTXG22vQ1q6M8aMlEJ36SxXjZ6VzA7S1m5A/VbLGj2osG9OiNHzp37nFf4P1NeTNxel74
KZfs4jzrwlO/Pp1JY+VBXDrjd6j7Vsp7ONXLdLrsxEzXKcQIh/JHHAJ5gymz5sV9cPJ6RZ6j0uZK
3GnXTfwtBG5sQpKh3iXVQMsPNHRDYEbmu+RY+F7HjsAa5tev54qRcVHdWjyvcloBZ2iOs3lvhGtY
ysyNXFfYhFB1E9eU6ew0O4XT6WasWHStx8aT1ywrHMgwB1M8GsOjoFifLqKjR4YixsaJ2fXpgso9
Pi2K1o+u4LL/5uvuuApO97iUGAQbVtWhSckkX8844hCgGsesalSGFGRLdrZtrlo2bDdpDRJ6KYcB
oPJgGNvsWgvz+ZMeN9WBeJMSVgjFlT5lz5e1UvbFM0DJa7lMD6GeItqyWtynFLd6PW2IgOVg7HkF
kJRn15ODJ7+t2UjXFWA7hA58jWSCz05dNjtAJwzm7Ta5GRPuqiXW+txydmnTxIecRBUIo31zwy7Z
XCVmTHrZWBobjMrtDcrkyR/gSe6yYXSDqsJ+OgVh3FTdOI8bNGT6oa2XaNUpDJDYhZnslIByghkk
GVPoJOkNkteqqR7Dtuzxv2qK75qXLR+Jgqmv9DIjA63uP6ZY4uzpc0gsCIV4xH802YD1lFTERuLH
RHD7eOXqsBqanbXQJqkqWkuDWlXH1oqdWzHAIxiXWW7NEQwtW0FzKJsJpvjUyc3S3hgiNneOOYkT
rN3nQcuhyDro8XATNbaSWcAuG/Xlaml5neqSzX5t8yqHHFlMufiH23U7yxrjg6cV2HBaOdB2iX8w
3j6YcJurDB6JKmrTyKRGaRQNGiZNJbZUvpLtS7pQsPUKowLRlGDzYU3crWMecUB+zD1cjkDRsbpn
bH6tjApLJteAxCTadIt6JuTj4WeUPb/MFNAm8PbDQV6IYdcO1ikngSfKoxEiGZYwRePiET6FMXMQ
+3vtjAF6+u8DpMKNJmI2LSSd28pFqIwTT75lNbSwJMoE6YGOcMSspE4PB+dNJgYiPegF0Jf1AJe7
1WjzVhvJVMbmkeNo2EWMAALoMN+1KL7WxvYqqdh/MSRG9DyeYJO6KGMKeHKe9lLbLD5nlFlAsKhE
hag9oVQhUbwR4KeLeRdlKVEyrX5mIp/5ZcSWqadD50Nv0Q5NEut+NxW8tWvnQ4ZFutEXtqVkSF7F
VHm7GPIGNvPsNFUZz5+M3mzWJ4x/ds4JZJZ2+DqmGunfws0/l81gkpGLkgX9CPelg8ILxFFgT/49
WjxCXgh0CBbbQehbUQSTDbzgYkXFpNPDoQbVcCu47ONw/s+GzjkXsTnowuoDTVXefqhbfmrt6C2P
4s4xeE0xCu84ZMSdgc0mQsGE0M2CdVutS5SGeW+O4zOORySpl+oOUglOCx7TORwn2DQ5CtbrVK5+
J0Af9h1SkQ3BANBjKbMHET9nVvVIDBI1sqXfdcuUbnpc8nEC76aTEGgTE530s9qJbkkIJuNWwPIf
mp2urBaTIdl+GrTsK9rrm6h39o2cvRN0FpJUxjS7TuE9BJBfXORmPdX1up0uDKSus4ETT7l9vRst
98FIsud6Ls4UGNPtguifKtC4rlvqGk14Z5EmNn0jlpq9HFEf4efhyTFQElpRL3O+a9LaN3gvxrd6
K+qvlyloSZkciMw55iYrrM5ZDYO2ptYjVLvGa5P7bDru58oo26tIS8aHAiHsBv0GhecKXiURAg08
V7azy74WdtQ5WRNPN5pmYH1ie+smXdCtKEUmKCZsC1+WGlMuqia7AEJk1VaHPBL7UMeWXnjpa6nF
rxGnfdtyDnWldUOOju5fTvR+oglby51mXasRy+QmNC26PGoCmmtGexCBAo0LZpjAmVmiysLxlK5l
mQCIHLxa/SFqH6uCo0eNw/ghqnmlJB5TVJU9ZgHDHJ5mkEnM7/IJ2mOf3TeDwh5LJw0aL73t5MRU
d3T0weWUa3tsOxJlUEaZs+tHrifOEWE6fk6mz2aKjYXYdif+0SbTmjfEL8Csw9p6sI63g8Zq8sgd
f8rHjt/SFq86XN7nIlTlOefUu6x++s2gxzfmRLP6CgjBt8rte3dK9rYn78qIY7LDCs1Pa+1lBaos
cyG4IvLUtdXwROZsPQMj1udAYvm2o4ZiU4jqu9aDIG72Xr2NBewCqcc3c8I2BhiZ4SiOF29m9Sdt
WBJ23PpqlgsWVg0fjyMz9SpqB4xs5Ie8VcUGQTQURPQkvheDSrHaOeLQYJHoa95dzl5v4j2NMX/8
Nbpw4YG8Q6xsCAxSF9BOdN1+x1pSqXJUlM64+pc0nZkBYGv1/WMDQwStZgEjC69lvgVPuV9y8rQl
WfdjVn+2mi9uUz/obiJ4h2l01zJjcHQtsB3nIVPRrS6nBZ9ahyiAvB38eES4Vo8K32qN4b/bUwD3
0acLkHnpkRwhfyR9Eb8im1Rbq7fvRLaU/qj14ozV23Sy66k4TxpqNUutRalDD9Qb7CEtCnP6a4va
S9PFzyZsQJV5P7g/Unj0+DE2Htr2tQqM4V3b9Ly+Fbkh7mZi+vchciYCpOZCcrFBBYx3iFSaJ3GB
q0S2Dzt6SqQg4akbQCRIQTjbRWZ9Ti4bLzg+PhO8bmKkaPz1Y/0LUGwV9TrQhwxmKe+xPMN1GyvB
32KfOnjad3KJDx0OGbvYbjBh03DwJCwPk7Q8Mf4Grlr5Tu9hRNp3zzVxxDChH70DknizxZBkHqYf
OBNtiL1yfHgm4j4Z7QJvn7r+NuhpiNJzqeDKp7eVKtRHr5Z75uni8de3YUXg/rS4dXLpDLIxWN7v
cOBBDjg9VSNpDOsmsAIGZs8r7aBSClrLRCrA7vrrj/wzZo8SS64m8Lh8CQrvt3CkUfY67WY47KH6
uEHezG7QRPybyKuHqWvhlMbaCHG5zQ9JhDHvrz/dXdfWH7+xI62V8LXmQVKGggW//fi4VXR2bRLv
4zi2zh7kqTMTdnxsTW9HWc98fMSZJEhKKBcGqr5Dgh3oQQitvDEr0/kymoV3m6rhAEHgAxPQKWhg
62/MEdXcSJHms5K7K0JFoGSjcYBSXCaQOdGchaqgk1z6ctcl/PJEtbgSatodQWCrcKYUO8wJGrJN
ZIHTnVsfCk+Z8Zb0+NHHdQI3ICNWxykcd+z+TdBGZFMWMjJO4GaYIAzZh27Wza0F9L53JNwLU7TJ
2W7IQwqZr38opUUSu9LUyjd3/SHmL2KpPYt1siHGZriblYvGKQ9T38HV4jqsFJFiFq7Og9lSwiRg
An6ZFQR5WdICcyesz7eLptyVtZmchrRVI6hWmbEjhQZj6MY9eAnXoNUhw3HtY92b5I0lEu3R0F25
trbwqi3i20Ao/b53Mutv8Gfj/SBqNQQVqxcAK9vWeanfPmwvalpPyz13B1rlrgo+kIIchK7sdFAE
KtIUP5APddOU+7AeTfgZM/7e9foAq8zEFhX3FlBUZW+c1oHSn8ffc5mipWPMs4GeavP6KjMgWyP1
XXh0vlm25Y6CzdzW6912jUV7mKvRPHvrr0+r/kMfywfcXWC9TDaonTXAZm6L8iDTzv2bl/s9MM6I
RawzFrR3Lti1/m6ph30tLKPJ3F3cLvs2nje8jn/zMr/fPy4f4TDNsZAKC+t9mgNlmIW4KHIBZ9La
r+C8b1WrgHdqohy63mi4N5hV//odfr+D8KEGvZXArgHehXEJUP7D8IrQMcQAMQLSpnKIEIy8dlsv
ekOLkwnAGdonjZTPY4UCeGv2Wfc3W4h4PwlwyK1gpi1dxkDs4e/Pjpl0BpWSarob7FoDA8F0vJYG
er10/cDQ8o41UtY9w6kHvawyEhtt9enXt+AybXizja3XQDmCVxKWJ946jP/jUIfXpnUkxko7NNua
r+amOxSm0W6XTCcwoVWJh8em3j3BlQlvuJHmDWbZcIN66X7UMmfxYzjj224khHUoFvdR70iGKpvO
QnVe74osbu9HWNpHq3X4On3snJvGtFeRaPMZOUkE+6lEtTB6PWYKEE9ipeXHX39H6/1B6ZhMkG3b
NkgR9giAflcmzIhbzIbhz27grTqPRjvt9DoSBD9UimhRvoQ3xPktrrbOuYv5C5q8cOst+uKjG8OB
JyHr12hdXLPiMDp46IhR4aYwUMDOCe+Vryh+u4OmbOB64nkJZTLuUA0YQQ0z7oQneHfIG7sFbVlw
45gcBYLQBZqVQtlf7CaAaLeAplYrnlGSOl7LxW9DrB/qeNplbdPhKr24u9pWwFlxdD8Tc7C1wzG/
nZf689KmBpvQcLIIMdsuuCngCRSra3QJ/aNWlT9+fTvfe48QGMq0F5RROg7HLiYob5dM7ZFisYAJ
76KsXU2FtZZYWXVOovEjuu9wawwmmWe9IOTDnsOt7PmaqVW7h8zN0aEnORGF9PLIFXnN0lLFVw26
9qdmJptKX7zlit9inxUCFLpvk/g7DLE23HR7n+nq+wIj+SpMQ32r94xHrL4zd42EylcQaLbV7Ooz
QR3DTk0aUbUjIaELSQm/vgPmn3Yr3F/WLGrdsIiphuLy9g6k2JvioZJbO6E4vPH8ML7JCV8LDi2W
QAcnDmWJ2+/7EYqzoRUaoGcTQ5fs3cNsEpqSxuEqKauKT0m0QmkJr122dBb8XBKDURDXLEw70vyW
QYSvt6yRua+IjkrcdDtgXBvM7UAWU4xWQZofsR14xHcdYb/nfCSI9sfYtxBb6QWuil5zDriwqeuo
TNzbHpJ8EOdoGj2VA7eXcU02wdTvbQCQvUl7taMJZKErPhJKufE3s+93vjWXtUOVaFprZo/JkfL2
zs0TvltkpHkM66xXmB3u7fquYKyRbkcRqetfPyjnTycXXhGWwTQAJppEufZucFwMTiH1oWeHBbr2
SWEjR7Hq4qt6KXF2hra4Q0uV3sR2H19JDEk2dPINbQI3fVINKDN+XFs6ty/KC89jZF+HqMl2AkR1
sk8z/D+MZHivVcp4kf92W1MT+prHumxTjg/cWLUdDrWvVdcsd7JicIIJoXrBdLw7DAbvQD1O5Tnt
dISchEDsYugHn0aVt/eAK6GPSay6qxEMYqEHJpaZhNUZ9tIExI0okjEmD5UqllxwkQ5eNrNzLNjs
FNjGn1uYLNejzrbc1Vm269bLoTvNwUMK9cnCSd7vFMeMhny4wIvRSXcVXj9PDUKgG6lXq5FZqX/D
fTIHjhRAB3FcaTuvLdJtpyJtR9QCm5Ej7CAGX6QC5YVY/uZF+4vVwiLxjMvsfz0l366WzrbzrIiY
QLotACj+1OmurS0Op8qsCEvmhfj1evnz59HBMf2nxIIIZL0nldhZyRT2f7F3ZjtyI9mW/ZX+ASY4
D49Nn91jjlBML0QMCuNMGmkcv74XI1XVmaEsCRe4aOAC/VAJZSklD3c3mh07Z++158rZksdEAVLz
NDCiwCmRJv4+nh35m6fB+LmwxHriBK5vBEgCcKh8eR58RgnSFMLe0jO2iKRmCmcYkBaSwlG7ctbj
07iQBkXrEjvZNbBX2S7cTFqbCgH9ipgH8IoDeSpjxq+CjoNK7/mqdYg1NIAMtaslbyVxq+amaNmu
nXI53J2o4eRJ8iunrF7ImCHGonQIZTFZdK6RvzArkpvUZQJHUjJYF4R0d5XPYTeTDJn3cbZlOPkh
q6AiAND5gJTxQhyc3Gg6DO+JOLgT4EJzY3QL4LRq7kgpYafS2Pk/j9Y6o9RqfBE/0r23NnBy52uw
Jhb9OJ6mAFbGLmYJEpiU66dB2QqIx3KaFhmD95q6BC8DR23RgQdfntXJZP8gPXV6LWf2t6xnnc+S
JZ41DSyigZodakm9brNa3idJpm353KxNDhB9VXtetQZARRGgwQKYJ0m46ufv5qz3ZCL1u/E0JrMV
Xbh1R/bWaqSNE07LqZvGZnuwgU/ysLBdJMZAPaDGmQ9xbA+x0v1zQ9Is6ZBAHwIl/D3whO68jPlP
dEEFUUaBWrcVg3bm6+juRdtc4Pekc6ZIGkcIzRPqGOkFbsMZv6zRbjpcaDv0YMGBJAM+uxzAVz67
39zJeyuYja6y3DYPPJ39Gfola8MOxip2Jn/Xy5ySJaGM/nzcA5ePj6ker6BxCtQBlU6MBWAVB5ba
JTFfx6+frq+bMfoapHXc2QOfhgm//vvTTJp7ZeEEUjsifclRQQOxQqff/uYZ/no2f74KUTKuw0Ps
/KTspAHNhYn2O1iPxF51s2JimY7P5KBetAEZhwpg6q/fl/FPb8ziRCNQFDY4zLi/vzFZNoJOfqF2
IklbmI5ozBJlNwe6aKgfyBaN6TgTvYrgxHTFazHm064fcYCOAidl3ifvc37/65/p6062fArUJS6X
Cp9ffe3H1IvWOtBr2lJZ+lzVzvT9z3lRljIWyUd58euXW4S5f+uG8Ar0Azybu4jPncb7op3qTG5v
UZm1Oz/xLhrTJF9Vc8oNjBlSsxg0hQa5Enaefqt1PNC6h1fZJRmM5gAWtXey1nhgnWT+zfm/CJl/
+rGC5fBfVh7Wqy+lKtiGehJ4Y3a0QJA25MybXEl3ruM+FXbAOLpK0rYp2gdLLciUiq9IizE9JVr1
aDTjklfEMC+vTTNMKlJ9PNe6GAhUwRebvrnt3lH6uJ5tuvbKO1itdW0yFugEynyiO1Lse2ITE5Cz
8mYRr1SJHHMR6mZYvUJTZ/dZmHsr4LaMo7mjhYTvFQAbtIKPpqVrjdL1sxcME7P5za3I/PmzWcTX
2CUtd0ll/CqBDoCrKmap9e6znTE5UqxIGCULYiiQkngSP3ZsJUzbwfipvtc/3yZqJPJzJRA530Pd
FNEcntMmO9Z6p20cHWFlv4ya5sUf3hZiBmxb4MD1EQ+J4rctQONnFajn+Lrp0j9z0XHry3v8yw2e
8T+t0Yb5DA0EzirIK9ibsPGWXvPYgS8O4dKf+YHTbIwURIiWJ9tmgEjz69X/8+KnbRGwvEzE7tBK
vqyyIp2tuge9Ba8NUMXAB2OyEpKSds+vX+ir8xmJImpbcPZwlWCheV93GoSDEWVWhiO+REiTMiow
pmzeSk+VH/ncIgrwEHIkiyALUn1FKHDDD9MFE8jvXqyHOn41mXonBPGdURrTX2FqyuebbaplzFoy
70YSdkaWClqjHOUKQA7tN8fAP31paF7RDDu0XZyfxNYlw14TDm69i9vCWJs50PqmHGsgAQxqxoKm
qTV078uIccpQbHQy/pgK/zc71s8bJLdXBwkuPSBaH19XP2zu1qsNo97pdvXdCoiX4mNYAjUbCHLT
717N/NrqWb44OojElFIq6d5Xcp1VGYr61qyR/A5im9VA1Rcl79yawPMM4aB5YgY1K3SBxJnhwZyr
x2qssnOwSQzSdfFa+8Z0ntty3vdc1bgLZAyzC1qPIDn789QaLn+91n4+R/mJHUp32vlLl+pL7d04
o1e0ECZ3njYlu6olU0nDk7vpdEaOqL/0da/nv+mz/sOMjFdjReiYdNm2vz5JOaXDUEmz2nHBZwmT
/8TsejTP0soe9zG5eZuBWBaGwN2hRdFx4upw/Smz4Uqpbeig6OukZOoeoa1cq6xv0Q5ZxhE1AkmG
DIBqwEkMZJhUW456hLGFAG2REZQGs0aT9udWectuljhInBbFom12yXXGEHJVVFa8B0sBIydr41US
Wd9yac6YutHB1pS74YxObxt7y/wrGoKds4h6uW7DZkNa8CkHJDheD5Gpvi3DYzdRvNyoI+qLni1t
HFd13Q7beWYZ/vqr/Mdtw7Vo2/Dh2jo2h79vk7U/J3Fjs22IScVXWYHyF6jHvGXEAUQO6Q9nIHPh
JDBfUZrR8Hf4oj+T4gbIcZDEm+HoTcgqPvf6whxQE09JjcyoJblCKfPpUw1s1wb0BQTOxwKF+EWc
8iX8+p0si+6v3UpMIOyvzHswaegmTdu/v5FG2KiWMVjusL5OQFmGcl14yyNhx/1JNAG3DX8unmzc
YmvQ/z+Spf+jePsrhJH9l+woz7G4HWLPgeT799cPwEAAbi+rnZ4jPK3MZrwyMiRyfo54zJKBfQ9/
FJ6kFWeHjkvFOrM5IUcN6Rc9REatBFatO90r1gKr446zCxGmh2YSpM6zbnTHbKoeCZ1IVp+SPdQA
hoY0JhrTTRzFzaNTLwI6B11ayohopxeLLGZcFFAYVK8bOdj3ek4Cgh6cNb1JdJg7O3BF2VUKEXzw
P3SCuaZ/t9s035U+npTMQ6H76y/pHyoLgjSZUiyMTk5ld6mX/3Iq98hbyxS4306i6/vU1BU2v7Ag
ua3qhMdwVjm4rYysMKCQ4QzibBUl9+jt6sOncnHWO7xGDTArTuvrfNnfpHsHIoDUBlU/lYjg1wIe
SujpxbT79U//877nmy4VBc89wTw/jRU7peF1Rquw03x7ZxDYFy5bRTaZ6C4WAUceFb/Z9X4qngmJ
YR9gFEEPmn6A92VVxQZpAU3G8BQ1GAE2tfLwn3Icf8oX28+vt0NH2bO/YH7AZ9EtytleLYRbUPqb
RjbZxsH/seAbfrd5fD0oP384orwtnrfPIdDfv0x3Ak+v4armRiitpXuEWpsyoluEyYRp/s7y9Q8v
tzzimHssg8vET8dOVjst2t1sNzjLqvWKs0mjoLJb1g53xx9D5P9u5sr/LEunDuWBAuQ/Y1d21cvf
rZs//sQP0Ir9B1YbZ9nfAhxWn8yUP62bgFZc7lIYVzhGqJss5qD/sm46f/gMWSiDGZMix1i0GD9A
K4b9B+hH1PY/gOlMT/+FnLn6c3OHVvMf9+AvCwTuir4037nVMo+k3v5SbJve0JdOPixqRsrfEaLK
NiIyEhM0hZIGp/D4l0/mx+v/FTr8pbj/8Xq8IOUIdtavC5Kg3DYjEWvYzGya4WyLjx62RDgNrP9f
v5JpfakSl9fiOsNeEHCh8X6aghKRYwIhxdBPm4Gg4sJx6hVJQ8YhxdZ2nkU0yDviCXa5qcr1MpN+
d9F8XhGGnhHWYBNvB+QOYes0EEWedYBmGC6L5oGLN6qnxHeBzLjCOHa62b5OICAZVhgeoYZIraAs
FnNOlPFgVd+hrWMj8zPjrmB23W+R/kjjRE9Dv0pI9CXQNZkjsk89+7ty44pcpyFFL9bm3Qf6m/i7
cBM6PKVH9FGUz1f40V32DjmJnSSbCTGO6q9TVOYniUOl30u7QyNLNig/SudF0QMWLfZ6M5a48hOR
e2SG+JOHQ0Vo3q6eLe7kAOU0ucLLQL3S2jAmQg785qNItebote7hU0hm9Dg7NG405eTewTDN6jXZ
v9GRuJ/5hJeHqPsxPxtjU23sCMUbTK1HrUDqyqXzOrUx3ZRk0E6LppniKA5l3UgCUrTmbIpzeLcd
51SkcxDlBrCZtebS54HfAuFAG9FyTe0j6BjGQpDW1+Bv0EN5XGvG3ruA+wdIHVlVHC/OPwOdjKMF
G/JVOZOFiaKdlBZTu5lkj1KbU4iOYrxjfm6v84Len8QOkdUUbRGtcQby4oMm9aI5R5VI9DonIwh4
MkoDpEfUB1XM5dBdzGWmW1C6Ix4dOgr5DoMkbgHxIkw0lItWZelQDRFL3WjzRYeg7RLO4Cpr4OPw
hGVWjALFjm+VAaiAC/+700VniypTVmm+yuE065gWw2SgZl6uwZGVEVZTGO+pW2wtLD2rolO7RSn7
ee/MIqoa/qWP/AsLQxgWnrNCiaOoGQ5mfbRELctbIAM7Yr5Df+pPcZTtlKWdxbS4NnXATZU0YApx
GUkpzlLLRgiKVLq9lAqvMH2cctH4DxA0QmvIT3owfneZN2GFa2A8F3x5zeI+AIlUcqYOwYbBTBbO
i0Y0CWjWdLZ/YU6xuLCi8ZU8todRmO7GMQdc11ZG5FWk3UWWOGN8qa9my46g5LSMPWkrf95fR1ec
RJRVO7cxHzM94A1giSFXlVoC+0/k2Lt0iRbOXctbKY/bXk2iV6Hz0u5gagcixnvgis6wRFpdxwXW
v6gaJpoZDPCiggc14x5ypxgJIWr17hj6cKHh4OxLvgdbr18DlJd/XuL/n52bbPdv/0aX/U8imjGr
oTz7z0fr+ct7PL38r3/KF/nzj/55xvrmHz6zY06w5RpDQ4Bj7McZa/+BfEbXlymU6SNw+/cRa7p/
gO/An8p1nJCMz2nmjyPWNP4gg2EBJ8BmwhYIEu/LkfqrI5aO/JcqmJm2TkeQjhaH7DJDXU7hv5Tw
KO2DcWYivV0SDWwm0CLeGW0TX2paqt/HjjLQpAofEiRYp7PEmgbjCIFfHfwhAfNqm8llI8Gxhtip
7Xc23uBuxrZA46ri6TmDxN/F9xzgEetYq/z7PmK+adJmXY+apeMpyG8kgINvDPmclYq7/pLQ6Xuu
n6OGK2O4S5y6uBNzWb53RGxeNnqR7k279o8uaotDI4ruqshGHhCCPEHVsxFSt8pYmxGcT2oXgy/X
V8io55OvG4O+ajp/ug66qCe4LOFQPZqNvClHt5hvyFyGyuzGc3FbA1Hpmco0/W1hVCSJzfZgACYA
fuiGvs209mCKvJch3sr6XdP8jjmRxFEQWiTJq7NuLIPg2Ed09jbcyszmGitq/W43dpXsaMBl/b1m
iOC9mufxdTbgiu/NJpCkEHgW9UA6oNNJAozQnDToSy5pyZfDcdac/kNFnqouxriQz/S2mNa5ZgFo
OfKvTXuChJ+mh5iiDS4Pwx59R8ym+4ppw+4Plkvbkt2zkaSEx64O5Wqsybzom2rLHk8DPzJIGQ2D
Sb+z2yp56nJbvHdSa95GvfUuCi+ZPCoAqUg8GXC9OEU9nCghGWCKaKBV5TTFjk/FNlbKITksb+EB
hDKpl3R6IG/CUOLMyrUie55ZHDfEhWo02PVSP2LPzdhOcziiswjysI6mOGQEI+hQd7gEYOwTBWiV
jLTszCQYvhy8o1an4gz14FtXsFrGEnXJOikq6DmJSG8JNBAASueMmzDvu/Mjd5UiHozhLo3Vi468
KWyTzvoQeeE/kPvBIjd0+KXPce25aBdzuA7d+GoZGDAD0eN/Hh2xhh2U7PR0VvFaFUFyclVxs7Bv
2Iqb+MxxJueapNrgqWny5FwMSetu8iVXXCrPf2sKDIrYXbX8sW/GDgSe6YD3dxMx0pT/jCxnYhFn
n9k3/oqw+7Q+tqWl7WAekK09LWHoxE0m67QsbyA465ukMmy5s6mMw9oK7nLb7p+aJWhdr3vWOzQz
J171fYuqDwSfb+FEKuYXglK7+KHTqzhZJWMMK7SM3ZRoFNCFw0EHL0heAiWoz4muJ+WBaRBEccjN
8WM7JKMkm06oaltRio1nlHvE1cfZAJiVvooVb2EhEnCPLNe4bFEAeWHtNu4TVAr466EvPA1HctHZ
D4iOpHbBBTButgRrxt0Wp5DhwE1rzQkf5mA522EaJw56zLWwXPXSyXjWTVGOF7b0RHcOiB8OvSFR
1t8StGiXN7E/ZGDKvMgYHhSrizPYy7NxG6EDrFbJQGrRCpvWzCqDarYnj03d6WnuHLjbCHmbtRUK
40TDC/t96Eni7mGQ82A7Nf063Kn5PWJgXBJ2lWbf80EFzcaKIMmEdSbhlQkHczULaTFstb7WkG6J
m61fU3N/NEFKVeRag9jAW8yAfuSUnGENgTE0gsa+RoZXXpSl47y7Gmb1PVqCAJ2s7TSvVpA3RALG
mVyS3NCBJ/wWm8RofivRrH+TNsw0+FKGvQVMJ/aOXjPoiX3gtp6TkDg7E1JsriOHmCIqcJJbQzZI
r111ZLBWK95isTYQ7HKfiLFVY9XJ4O6mZTM84UL0z3sc7A+Vl05FODjDdNFh7DqWjUX7oqnrccM+
xBx+bINh7xoKU1sggyuwekxh/RR/Sqq547UzdhOokNK8AaEXI2lVDsVlRhfmwLwD6kWdj8bBkFNy
UmiqiLpp5B0hEdZDodxhazCvCOcycA8dZacKC47IAtsqBpVR9PnKwn2TbkSikfgroF3t9KkLzupK
abQUWotLUoXCLLbL+lJTVfeiA+J6TgbDvm9jIzu4YHy3kC+iG07LxN9JynGQK+n4KlViv5u09O+G
phi2JKHfBmxLUONp6rWbuK9u085mmt8y7jhK8pX0nW8Qw0eSgrUu2h6YFwBg/LO26q2VkwZJvPXz
npDbNnefEEfwtXZt2Z4y+jAf6BW7sEwqmxFhoO9TpQiV9wqCdCtHN4e9biICznvK9hyi8L4o+mrD
7WC4cMgyqhZgqJFuJ4M3rHRhfK+Rdpx1UWrhECwJEDibCmtGJNHM1TeZD2j1orHg7Cr72j7Udtef
ME+RGFgBMnTAk6nk2dE0+7rvJosGXRZclg0TAlCbPt65sjkjb6h9SnsHlOAA8u4Ikk2cCoNsg1AC
wrtxrBFVSoInO1TALC75WdQzZH39PjNaFxgvuUY3pifjQwKGk6hC19u2XvodaUn+DYpvuhmiIlEX
fHvlE34kRFuOIhOkUc6uMm101lX93gP3u4qRlFxQuYxw5cricTLyBoCclsSHsrJj2v9ds8mCqud5
80ZrbeiJe63Xhh6HBcOza6PT5vq2bHPtaNpV82waWKs3wsZxFEZYWf01U2I0677bqlcgCfZz69f9
9UhagHUAFpo9VoMQ4nKyVc7DmNrlazW06i2y8h4//1g12rGlCUhbQU+DdNuL3iPae2qxAzu5d6x9
pcWkJVb8c4qBBq7429jMdM3zuBsQp4SCC3ZQmEUKp3kKVtsZMAeEfLkGgMe2VBulyHBlpOsU6EiE
lGHtYMya5kF9OOh4CDbt+XesAd2HM6j+QG5GfTa4jXd0tKS+zqoK5X4LXyZeO8iWv+Vg/XexLNpT
Ekf6TncjkhEakgNCrq75Q2oAHl8FLpZRolmqvl15Wc9P2Mf85gKCD/ZNWrTptp6s+UUGZWpv5GhN
L/SHozdF19PetG1PlIXwbRnDwJzi7MogmurEF8/dyOSPlytZkDZFm7AtLxGozzcUpvF6TIh9C+3E
F0jJu3xmscK63zGar56DrGO87VjlsB01VEnERhBKpgCEPpWVcsUqmZryJZtg8tjgrV6srmu5lTd0
APC9RydRScNh3uNkB48faQMOb55WKWk+D8oX8g1ApZxoy8LzTWKn1/DzVi5h1NN41rR1eVcFTFSQ
GVbOReWTgk7WWNIeSrLwrI1pi+qKXX9aN6il5z3FTlWHuh6JbySsLvvOwDbZmoSow7M3yDpBKUBj
AVJtsbLGST77ScpRQ8z6fNkUkl5BDbj+RanK2cCcaSvYell2aYHVskNvKIxsFU+2Duo7B02rGqMj
tonWyzcxq+AOrGvmo9oK5otkivV9WY1lvx7hWTxCLevjW2AywZW0YyvfsMH474raUoVE7k4RgsPR
virF5BzjvMJKnRRoX63K0tQKTi8hyYLPbK8nJMThgqPV6xiNdw0aVPNCvxzMW5dTZ127oruPZ5Xc
WtAzroZJULfFjmyvaYE5/VYP0GNSkmg62cWqd8EZ9MK97d0guUz7GdOF7mfTpYN74a0Qo3VDA6fg
JLIqQbCp5nCP7x3tnR0v3XI+u1uyZ9Pv3jTWkC9i51swBpWxJeDLvdG7wSWZIGVWAZyFa780cdcP
kwqOMayGpwx7/VWhN9prRYDNrT7FTXIyW1Wcyn7yPpiHJzWMhLaKSNBxinf6Eep+HsZpn895f/Lw
4gCG9WIdfw4J6eUWZ8I0Mc5kF9pLWbj7SabaN1dMeb/JCcvb6cpRp2JxO3tTousr6dTWxpi6pluV
Zp4fdQZ9MWqNfnqY/UhtKgZyE/+tJ701JG6U5UBWzlSVgYLQRNJshlIkJ9J19YNRdI+jrsBHiCoh
QXfq+EFM+RxV+nKZcusjflH/kJAsxtkl8HcNHg2sCSljmEwD6A02r9DS4nv4CTQhGhymrEJyndvg
o/LsfetazWEUkdhI2F1bm1D6nb+MjKJkir5HzGAubfTwVFbkodCg4XZIANquKsijGigR7LU59hiU
QS9cjaUTHyTDxq0BrWtvtKRJSOF1b0Om6mvG15G/IoodZQvxCnc2Z9/W9Yd2P+SBeKacwQUfxDdJ
ydbcdvyg00wE9CDJgfH6KjrVDkFldYA4eBRde9bhlKIAQeU/JMMbtwd1MACR5CEncUae+aDeM1nS
L06HnATklOh6JJ6kMpf4u44DCwS93dScGkmUgF1l6TFos/5l9uX7XGMNDYl1Wo5TbmN1XJJ1NjXN
cdLMGVamENs+jrnVJpOlnwcJCquYaeVKksMMdaY3twmp5teq0Cd/JccR0I3M1BnWvPowabXEXOQ0
+qUzO2JF9pl7ZlXRHcv+2iVIvh+7e2se7Cvby7Drk30LDTcDdW8MKA2mFt9wJsBaSFA65zGZ49kq
nbocv/UYP+jCDYiJKVyU+qX8RhDz+JLU2XjlziZzSJ3c+PNpdj2smYN9qPC2WDCnWkj6OvSjJ+YZ
l1ndNpdZscQ9tGqPqbShAuzANOu51cH1baIVCRvOIzTT/rWe2/MizuWpzdNiLQ0d7TFEboG8JdIh
vjJN95mSbQnl888p9OYTZvz2grS77raIeW0L3+ZacFXeyhyaBEuUxIJiLsyLitiyO+VRm09tpmCz
5Jp6khGZ8Mow+01ZEPEITLh99ctEbPPAG09OEA23kXBy7jlK3w4kF+4biPNo/w33wS8ludHEb4l+
jalp1jdUI1c5q1HizAYLEladUWykJh0yWrKuJGbM9EjpGgwZr0gzI3RLaVb9rFAlF+tY6/oPL4+U
R6gUnUscAGXJzUSZKMw4Td4bUyPPLSNKe8/EtHweRUN7orPMPAqB0tbiqkhr/T5K+oryOyOOMbXM
ZzPW3EszzY33FjqCgcAkL9Kw5ns4dNxuti5CcD305jG5zyTcS+JPYH7dolkosWgI6W9q4aqaUbic
H/u4dshDktgMu9bkvjBaJZPy3HT3S4PkRTiasekzIDRAIkYXsRF20QKBnNJuDdyHoRpwtnG+1Ldx
7qkXkwi2UGuNYm86yXOTVvHJAs5TbvKFaK0P9Fm41+XGGkyjcye9Se0BxFvmuRgnowWG1qTNxsSd
6+1IA7UwZUC9JjJtKEr/PpWJqe9qTk2s4FG+lIzibBjA0AwNkTCZChDKwt2fUZj1gf5R62N34c92
9KCPheeF8WTh5shwvsONSZojHZySmKlUop7DA5gfNS+1irshUvNtqRBCnhUjjCDUzSPYkzmeIAQP
2rCa6ErQ2faeYK8XAXZQ29gh6rA8dqREJ57QcOZzLp3Nc1ByYm2HIXHCTJBVw9VMuwNE7Z9p7tyu
KCEt0geggfDIJc0FW75rn2RXpJdGZNlvedr5D3RmSCvgPKKSrh1INnl9AaKC8OBGkE+YBMI6I0GX
aO4gzvF211q0l2TDAcOKm4wglRnNK+OlonGo+GgYAC43wT669UBCYpPUwzkR5O1yLewE/Yhctrhb
Rqyba/b1bghruN+kzbcVvH4CD5wiBFDP494yviDqSC/g+rfcxHCkeJOf77DP6/hhHOWt7KbuHq1I
LqVyWzWcOW2e32FhL8Gx0rG8hGuR8/8W5NKgaWZhhpzTmXuUTmG/YJ7A3NDFYlxlwJWocDiiJs/R
6tAmBfM4BLX7mhFP9+AWhv+IHqdE6tjE2lXlk9W9auFgtgwU2gn/pqKETfKuOVCJ5yCG6ixfRVPX
cr0jU1au6lTVoOtjXzzbcgIk4QKAQOZJ5oxZQl1GcNR5xOD6zhuzoUjDSUo+g2vnDMQSap7HtAVd
vTPcTp4QQVhXBSrIfV4ohp2psvKbUiN9l0AIiXAbnxDUskConK/ELcFsQLwOW1nwkBQkzNWbvqjI
8ozMAk51OKioqA9p0ETdpiuMdJf1gHEIE4vGp97lgsU78dv7bvK6ZuVCjuFde+5MMlOmZhjRwUQD
DW5O9NLlsXHne37cb2zlu9QJ2FlObtszkhROn76YbTfTt0hgCmwnYega4QPgiY6B180Padlx6WJ5
unARxOg5BmOLUTwmMB53RWm6RxoiXrKFrl/u6Nbm76UszPMSoAH8rIzkhbBovca9TDqh7mVAnpoc
dMA2IDJc3ia8axARaPihoNvIcqCAzCW0+WguETT4MHq6XgR3hJNwmx9Ntp/JNdLXaBoUfRDTlOYZ
+0SCrU43ahZo5hTGwR9lU+6gaPTWaSj6DtdfOnpvjdM133LXJL0+w8RRhJlJSy9MlEfwOz4jEXIX
0CCPYPgg5YJwKPEykjB1Gs2GXmkSpP4FSXE12hb2TzbsVACVx8WFLzQDrA6RoVSzt8pLg4YNKYwQ
9fqkry/SIh8HmrTZ+OSinlvPnuyeeJIa86zRAXGDD2m7s1o3ezh9GtbUtWa14j3C4BhvR7NLKfai
kpEqxxL7yliOefEttXr7OAcVJlxsVNJdDRyTjGHdYNjZLqR9zWxR2fa1Pp1NJeFMyy1SE2h3Rik2
c17l6cYk8+DaJAKv3vlURg1XpqBdS51nnmwrOzrHJBcNK1BC80bqqT5gnC9ofzEqAzDFrmr1oY9T
i0AAvTubBqeUqyUFcIZ+WNNHSxqdZlLruewDcxz4F+1MqmOYc7JxBXOnEtd6SpiAT0Chu6t84VKe
4uU64KTgBxba2EbnLeD6CNuP8dFnmn/T+J5B5zHF12RrlRrXOpFvsLTinIRs1FxNuWnZNkXoKqld
C64a/r2ZAOsXpNpygUmV5HAxely9LRL4D9sup2eiGQgjSBMzuclH316cr44E1uElN1nuT3sy5eN+
uySM3NdJV5/mqRf3aRFTSZd+nV7lMn+soQxD5/S87EBaOR33JSZTSAWuvxuj8oWBjvYO7Gy6S4km
0dYksWAH9dh2p1POUdiEo58XF9whR39PlCq9bLiabxRzzaue+sW3WR8b1Gf10G64rMVHsi8Cn+jy
5R0RlmCFlutCy4pz+7uhyWFL18LajjQUTrR0cKZbTnfV6pPZrTUUk1DvvWHeWyzcGyWH+oY0Pp6A
lJQFkAHCvMXbyp6tZnLrMlTB4wmSdL2d6a+I7Tx4fbwCYUInyqhbF6GHzWx277N8gT1WvUXfkpy0
9IJmQzahnDT6+azGAOzu29GxGM/EyseFmpnGQU3xbYzzmDACY3rRowRgMyYyEiHL0JdzPrwxkJHc
BKT5SE02OpxtaezeZlxNcOVmPqz9xhV3DdioO2pRMa/0IPa0lc4oSqNsk/IBm3n1gR2BWtRq6AMg
iNCL7ybeuww7eZqvS3ek2S+7RK5mc4ShW7DRU1E2brH7HDr+//ns7xKnEAcZYHZ+NaL9301XvrzF
L/k/Tmn//Rf84Nh7f9gQ5xFuWyah46iF/zWoDYw/gCDboNkNwzNQXvzfQW3wBwZXomKRT+sYGE2m
q/8a1LooqHQmBvx1aOpAu/9XBrUI4pjD/lUQq2Oj9Rxw+ZaJQgkayd/ntAT51VOyzB2bhOHWvpvb
7NJrnU6tqUnVRDOmy9N9QSBKF3p1Q3sm8QmJpocbmwcUjunGNczmMMel454jOmLfpQ3IPwHqJE9z
Ugfkw/rggzda0YjjXLlQfjlT9A3KTEtcVI5TJHvNnuonRFJxua6MhDss9lpqrkwUrb9hau3dtwwG
t4byBj2kM7pBocStIPFtLnJTlm0inkycN7QFeUhMevSreQiG68Do0mRPe7SfVyZtJXMvx7TZNTCx
wC72UGavLFP2EZKJGu7t5BjivESFds2QgFSeTFLPhEY61A6Re7KlRPUL/SNO9IqjhqNbrW1bs2/K
OLKBcUeFeJQ2V8Kd70fTm+Vq6qpO82jBzZUd44qaKDursfsXWmnjwfGdAoVi7SZPtoYVqIlsnLRD
pesovt2GhBrTPRgGocdsf8t8mNg6N7Qgtd4p15weMQL4JFDPZsTIRa+Svel7aKOsuck4daa0cDZ1
61nnZmEMnJGIpawi93ZytpP5wkqKzrg1MY0aYWNPUmztgDnfQ69KeaBH2xqbPNBxl82lMOVuYoBH
7nsuFBEcsm0d/dJfPpdsI2erZQoDBNa/a2HjLgZhBEURbPpH5DuA5Kd++bDiQ6di8nJIcN3w19gn
K7CJmMz8Yro0ICiLVeHFvXEpPB8PEXm9JGgOqVwbUcnlutPHG5XoH4SRT5sygyE1YDw8VFxlV0Bd
zLCRhgmouCV7h7LsAq8srXeLOmSabbVNMmMCnQadk/PaHQAQBp13i0T2gNDNAOuuRcFRywnasdPo
lv0WsU7eP5gMYJkW4mdhfUAzc96NoljS6AmbEeVOI/NqUembqwXguLFmVZ4L0yqPLsvmprBq7eCO
PV0OiziaXEp/B2l5yYGoj52LbUxo9sr10djNkX8OMaA9920uzmVf/B/2zmw5buTc1q/iOPfoAJCZ
GC7OTc1VnIsUB90gSFHCPCMxPf35UG37qOVu7+3LHbEjHHZ3yBJLJJDDv9b6Vn2dsa3zU5XRJ5pl
tme3z1/iThW3vUjVQfcLQdovMT/4kV4pGm3u2GHcrch0eXaxA9ySiCFplap5O5OVWGhaZvAlzMZH
Zlo1t5k0PE6awvaaY+KpcqLFrFTSmD4KY4UESWVFIh5ripdIMIfs8qEd7Jwgk1tZDEg0oJVWfQDb
w+r0TU3Sh/7kCPRJMin9lEXVfV81ZBTNGRUGuC5x9qi7Cxg9ERueOsLD4KyQDFelsvc9V49w6s/k
DzI0VeOxKKrvWsf36WB1VHfB5s26rsO+1Lp3aFbhKxNqKGX8CimltHgFr1SxGIkn2fP8TzRNqTz4
zCwsJ9RN3hN9Nb83CbP6plw6X129sgangxhulJQ7jj/corvSRGHW9WDwk6/oxGQuPhtQETkSZpoT
UqCoscBjQHkFNIB5KtvrJGLUXLR5tiY3MnKzcQERTmp+NfjcuyQJZkAJaOi40oYbj+ZPc+0ZwyNw
xUenC5JTpnIXIG3W78hDuFtPjtSwirF4aNq43VouF1BCPfMtCVQtN1M+qgOVZ7i1ICfpjZNgD11z
Lgxpea0Z35mBPT3HCfc6xgnDre9zunYYzW79SKlvXd38qGohNqamK2d0ArGLmMttoWwwik77/F75
QKLCrrVPI1i8j7Iqip0JTIK/PEdmikTNcJP1JvQiO2Al7AhlMrCtvZfBt8NPuq/gMP60q/6JcxZr
8K+7Ew0wONrxN8GXIcf/SxCg5K4ZUc8VHT27pa8Y5T13Nl1cTnctgN0vQ9lJ1rgSrOogamqsi6Yv
noramMCZMIjSITf8a7BHlrVNO0UazXaQEprlpw+51GKbGszBBQvoBhAtiOrkJkdlKzoqnXvD3Uh5
ScPRbB6emTen5wkEs8iYWTi9uqri2buZZ53eR17EElVXQcswUogOi1DXfgCFXJLSkfOSMnEED5hO
8MxcyhpWJoof0FsXRqsfINcPgzvtKaQurvCVjrssgr07i348kKHyTzgUuXzYzJBoLQdf5Qfds888
ZeMMy2hb+3BXS5AP645zCHEihRSB+gU6twSNJedq7Qz+PB08h040gqEWfIg99hr6Tke444fGpDbt
2kXu2tLbGHJR643vZHUnJEVbHjMUq3ndSNM4p6lTbceyU3f51Ir7VkThI/6sLX5aAv1xxSCnmJd+
gMQq73I/V8xQDe9OdY56KYxKbHqmpjT61sScuqLlOkz0pTKjbidC7zFSXrFuweMn01Xvd++ozXsd
YZW2gWTdVslH3zdnn1nLdWkBHFCQh+iUTNpzZKbYYEu+cZw3sEUszkdQVxQcmjp+Jz8PwDJjLqHd
/tQZxdkedHwb0dyN8Uo4930cHVxoSUe2lRQojIMTw62QWVpkn+PsamAAU9X2zCdxMTCvKl6TCTKz
aVcf2McpS24kxtmZ/gGLZ/OudmvrMQ7VN5fQ2bmMePPII+rbtlNtuDO8qKUrGuv0fPS0JcNTweyg
+MwmWb1iA0Oh91LXl1Sl9+q2mqveZlFWanzx59HSGz83q/eJxOUbwxc5P9JsaKNykLed1g4+kzcG
AtGtV3WCy2vhfAwJpdrgW1D2QyWMD9gLLYxPp8cOaqFzU7JFYXrkMvdhfvIoENi+CXJ0zB38/NGm
jjnaukRt9irz+nVWa3XjjlFzo0uNjBiAp/uqci88m7KTN9jEORHUA/u8HkL8wmO8dRzDe6pBjyCo
CuedU22KdQRjknUY6Ls7xUNtwA4HKYx8wqX7PBT1MKzhzlFWZzZpbC6jaFLOkgNHu2Wxq+pdih1g
E7JikYGnMbBec40Mb/H9+nw77YRtH9V+SxaoPqNu5i9sLfI7Qqo+cPTC0jQJTBACQQNDMug1XgRd
HCrMO6x+HqTxLebm4tlRAGvTKRW3pcz7M+KF/8pkznqKcwnAhEvceTZSjjzCbIpHPkb6RCUnP906
ZmuaZWaeEIpwHNdSoah7rXsdpSj2azx5asuoud3ajf02gYk+Ra4FOtac0uQt62L3dQqGH32lDZNg
Qt8fLLNAW4zZugaVqH2aTuNXXCsNqv5IwHXVYih4B+zfP1pVJl+D0XWwT9MbWa3CFpMVtp6emJuX
i69zysiHTcl4c7o4OcdW4L9XbT0+WYxPrxNMfimTBZtpK6dwdZCJ2dPRaWZ2uLJQF3axmJ1v2pE0
RRvMdLYCgNW4VTrFd2aVUJzWKJPTV9NrjFuy0oDQC2wE/sougvTKkEl9I7U7bMzZ7j/NvAG6anat
90LaremIYNuGuKK8FRsOU/Xw1dbDFBCgH+OlxrYBVdixWbwBdMkf1eClxyGAuy1pmeO2rCVUGhkU
tPL4nMRWQ++3JxY9Wq7MqR8z0gR1Pq3UONhfO7ea0sMoh+hjSkooFlhV+psKB96qtoPFG5i6LfZO
zthM7TCeTCPLy04MnftJn7JFcaijT1GCirsHFDc/w8y2q63VWaT6w9H4UrQquu+cwvsoR6t7BGcO
9Wd5JLk8YS3lIQh5CfMygQbk1Twja0o9l9rJyjrGwvK5/4w5ffRdF+YZ5gEZ3nfKx6htxsYd3Z8s
9q4ZEX4e58z40WmJkaHNaRynesBUt7MfM32CMtjf1JjG3uZICDoTKdyg5cWuv09dmGKJcuj/KyE/
vha4HsCzQxugbErKH3bc98i8aFvbvENF3tSxO24Do8c30iRp/YwPZx7WRjHmWyKBXomC4g1bP/Ww
WGImHwmHo7xfUfHq30EP8s98f4rbobM4dTpt85bXg7X1AlEUGwB5drUe6YF6YzDNpCj3OkbGgRGr
rYUYd2ykMewFI+Zhkyh4Jmv6iHkek2os76Ss4jsd2+GhZiLprQYZikNTxKpdZ27W49pPUvI9USxx
1BdN5z9DzMb8oEr3C6P76YN7DO4mhqZSrmqCHhOPAqpHg0EQ8k0HgHpqhlfbNB97o6ufkNzqeIsV
t7yj1sYs7/t0jA79bKt3EikuvzRl3S0WkvFYK8oqgXi0r7oW7Y8xNL18Q5mt91gi/TzOMgmfpyFj
J2JyHh3zJo/gITAGvwohc6c7DsLGTVgyEtpptN1jBPIFhpeIvjS9Y5+mQjACTynhSfYM6/ANh403
3NKt2dy53iJYE4A5O3E+rsCgtkfX6b03HOXjY8Nxa9xYDE6PXJWccGeNIjtCU8mbHTGbfDNrnk5k
xKl072oLINrGZPCxnr1+2pv1IN77qWiODI/LW9NKMaz5Lg4+jMhovdyWOIFFbdOGK782xnujGRBn
MjV8c0XYfYZVhn9DMy1soK73y4mVdeKd6yyDdK7w7hqfHC25hWEzgFCDy7EomZ7DAXFxxbfYj+HA
Vwl36Sqi6Chn4tqvcDhMTMj7WWwoyq2Pyay7J6myxKIQhxrIRQUuwn1IlckKJmt94xly3EPVW8oz
9PhalSJI73Ijd3iG8erhu4zNSVAZzXpUd1As7qu04RTQcxOO92MtJ84XbjlT+sOpiEijXW7hcAw8
zJk/r6q6C7/NzSyuWs9LzS2M3ZmQCEpKuMnhWVyRoK1NEiXBNJ2Yoxrh0XP9hupiWU5fK59jm8lM
/ctY+/V3lQ7e0TT84kWpNHr2Cyxzq942h/1gGtYRqy4ANmfUx6mIvPUMcv5Hag0TN2IC8JD/84Ja
2Lr1kKStoCU0row9W1K9AfrFPc7kMpbbLtf8kGEKUV+X5l+oJwvUvFJPs28xZLS5RIa+c3IBje6m
DLIbfUjzY4+L9jZjOrOxjbRc+UE7Tlh/k/LcOn7wrZwryCeqqR8zc5zYs9tW7zSCOvfFTsTnmaEU
5Mooe5G+0d9iMR2fysotSPbOS4bIKM272CUr7RcVU/bMVKeeF/5p6jj6N0Y2HUJ3pF4vHosfJW72
O2U36onHnpNwIk8WFJTjaAXda9j18ip3rBn7lwULQAl9hLNCCU2HKGSnNd409ciZvHkAwIFWBlTr
OtKiPKRO7LyZ/OQ+AoGrlDuQ2qE7NLRqW+l1pYv4vkWcYUwlVxApcgQjRGaUYDv84cnoS0B8+yBV
tc2bTJCX9od1yT1zOwnVXHdV9+b35MTqtB32foTrF4YblSUOAGBk/hefBQveUzUcKe79ZrmguphW
0DTZJNjOBFqMsvXJjoL44KDbXQVeYm/A8sXY4sfsK1yHgs5wJCAf+YIPmbUHiLLdAf6MuzE6DwXU
BEnnxpKsHWWDJZvnv7/G/Qum1FQS3MiSTbYkbaHOcsv7KQtisPwWAwvJ0e5jm2PnckqjGzm8rYZC
DmvFI4StiOQKbgFBB9mk3SOtmsF/ifv+F/IkxBDHkmqZrfI/wvuFMtToAJo+Ds3jhJKT9JgtYVUN
FKP10m/vPK+wnPvUpCtkSwvUcO6nkvsfdTsdvMSe9zuS/fMw2oo52WQ34S5PfOZnAk9k/e4o2A4b
2RrqpaaC4B7KJd95R2SvXk1sRFwGcnRfWx9ugUy9trk1vjD+MHZj14lHux+Mb00UcPDWXvjFNYXG
GVCH8WsXi4UE3ssbCpIZCtA28+I1IQ9KHI0PdekkVFgRd91Os5le0bvSbMRUCg4SIrwbyqZcd2Qw
z9iLpisoEeJGZyHbISFYXAzZqy1K86GzwxPFu97aXoaW7jK+rC6TTBg/rJAG5I5oy8hVnavL2DO8
jEChL+NmuAxGbVm7nxRyevejSpvzHM7WC5FwbKI1kT3GX8uBfeyUplwx9OJDDNHsCz44ntPscrq3
Lid9/3LqJ3LBDSDu0+mbKhrWTrP37pLLPcHqSnHAVowdrK19G7bzcp1gmuS8wxSl5Tn1vaMR2F8g
luljNTYhfBMmoemMJ8BI/HIBiHJnwQnN9cVbbjL5cqehYYR/Xe45QTR20dab2Z+TcqK4yBq4ES13
I2+5JZGujTdNRY2yXTfMKJeJ6JrVxPjILpescblvJcvNy1/uYPZyG5sMxts1FT3TmlkO17XKj+z5
0VFt+qbsrHpXLsQCGu87Mb4AeOKbpMpM3XYz98v9IB1m4QzSq9cmICzwaUQOpeMRtogfnQBAdf/v
31f7XwA7jFuoayU6ZqNPWKTI/vjC6sJJehGxncSctW4qYwxp7oprnN0iPRa56R1rDxvkOtBlsB2b
8s7DonkdjSUBVcMZwP93Yc00bcZZzgSgqFZFng5nbj1lsZHMSV9hSFY9FdSifpQD+nllJ5IZYDxs
HXe8g/x9N1AUQY8KGui1BRqtQ1AYg2+F0YkdrboOeao6faBmcmSk7yQn4ViPlYhgiwf39HPSTBGE
qPoi2Flm+Mg7Lm6pSLjhYuavHUOaPSueqSjJVrNmy6495xDFi3+qczigsneYh75ys3uH9Mq9KC3g
2qVU4ROEFER7Ose24aiNcFWKcmD2RiHgLYtLfe81LW1UnGS6jWK2PGAYEH6/VWOWnubazEkc46xg
ZOhUxaerWziqqac5SKruHl9u+zyHQ7ApBWloYL/ZxgfNny/22uAtQlV4G9WEa5ny+mYXdGm0j+ko
Sdl1pYtmkXS7xJ3CQ+EpXjnpDNhWVAOeZiKc8ZkHvs/2pc1gz024iJdQxbSQ16F+r1zd+wfHbIKH
oPejj5zSM0DoYbxdNP3zyGSESUFM9DhW/SlLQJXaZmzdMlqceSo5dGaJP15BrTcwF2XVlj+uwxjj
Fec0TjybOW9Vf8HXyxsQCm/VDx0zM5ScaOdozZY2Y8ad3Lp7620rfjKi1n6u8WcfKB8wo3XZ1yxN
45A8zKSvNvTgiivFKrWWLrbREq0Brg/tTW5kJV8KwlasopGPbxBQoDzF4FgyLjFOcA3sytw7mGR5
rzE5XVd5+ej7WLX6jAGFc9mJoC3LB8dowpthxsPAeMfUwSoRRefdF+kiYVeLiGRd9CSrGzU2l4vO
ZC6SU8NUdwYyuShRAU5X6lXiKaFdrrA/rItq5aNf2Rclq4U9u9P24D5nF6WrsA1DrcDsc/uMWb2L
Datb9RYy3YsPgsxleEsrg2Vul33sU+phJCM02h7K+qK2JUQISP00I//NzUA4N/GAsajJlqADpqpj
bdcd5+pacrnW/syoiTBSmhwScgcEDRlgqE0TW+WV0ILzRH2Z6Y7LeDdV1mvtVYjaXfhExPoV0wQv
iJ2gDLnxqQ5mWCy97+4qq9TLp6bjCqH1aoyQiFqjVIcqndr3f79Q/UJWAHRgcbBgkQJJBOxDLtrm
T+cKk8l8ykjUPfohzTk+Bv7muuofLl/kPxLC/5Le8YcU8lOZ85//AZ3tsBKWJf+vM8j3+lN/i743
zfQz5ePvv+2f+WMgExAtpAns83eSx9/zxwpZGwiNUnD4f2F8UMIubRRnsnag4qHy/lPXtszf2GcA
hgiEaCzHtJX/BwHkXzBPElQ7GSKYaYiI+Bu9X06cilS/qSsNT9ZTbwzI1q03oP+FGt8T+I9VWutx
F/rudVWIbz99p/5MtPijZPEvX/oXycJOLDcFfc+6LlNNjx9jtCiZefyDj6HGJ/jvv9qvqCS8AbwF
gEPRSBDx0fD/+A4kQQ9lF3PQrk9SeQpreqf9xOWo5dnpbmqrVyixyZ6fNJD4TDPhd3sX7oOpNr2j
X6HFo1zMi0sovSe1d6OSEfx6pgh4BS91jbCaklEDXZlcWaJof4cA/CWKxfqTjw/wxeOOt3gkeKB+
gcSx9bQMJWq5VWlHdxNTSTi5nUGcuJcT9MtZkW+hbGpGGLuHhBE/Mqi/s8fFtLYUrpm6fk1nUjeE
Qd5gvV9HQu7tMv0IXWxqhBSOXb10TC4ENXvp5iq8eUbQgqJfRvjA6M84hrVtPhmFKRuci82BtPAG
4xRO5YepNNdJFG97FZ2lSg7hNHy0KZ7ZIdr2OqdLtu9AfqQPbpSeq2x6lPXn1Ejit+PqKy6Iee8y
Tdp0NCvdlPQ6cp+t0qPvaX20I84RbetQbuTxlxkL8SwbS+xtxqxPTmo+YMtETvT5yqLus2sbI/J7
ktOnVvrJuMe6RRlrkgE2IivgrvCSNBtJnc/d1EBqkdlQH0w3DXfKDcaNWuRtJmjBNaOIeSX9pL0f
+kAe5rzFx9iW3lfoTS4MZ+QLT5Ga0H7F8alwnK9jGvhb6grtj0pBHq90Z55662qwo4HpLlTSlbk0
GiYiLXfKsedTofkSpgNyvKdJxijc6jOOk884LJ3jAJuAoRK2LzazBxqIUa6m6BSk2VvsRada+l9C
Blsrlx+NaqeGLAa/oUrYjIacNpgsb+sbDqxb2JR0gPLz/i9ep2XL+MkOQ/+8iZXCEfyDC6xqgSf8
vKUAurBqrG7WVmcZympMLylNWHVHdBpHWcXRQYmnOLbH6znSxtcoUBZBuMUBGsR1eU3jzZeR6rEZ
DMsVmo/3fSy86RFqSbZvVdCi0LTmmRxs+tLWWqOkBOaPy1/hP9qv/nwn+sNm9d/b0v4ngTUYP7rC
ZaX/631t8/7ZvP/tvfj82+17+N787fDef8/in/c4ziR//1N+3+YAVtnCAeFg0dXkLOUf/3BvufZv
viUJSguQORfSxv+3b5m/0cYCE1cJxUa3PET/cG+Zv5nCdpiFmDYGLlCe/8ku9yvJaqm6YThL8TKf
BBPHL9OMhGz+KDBbbwdE0oRVwZHRzmptyDTydzvgX6/U/8LzAMPnL+R4qKdsqs4vXyvMjQoKdBvQ
H1/ucNKfp7w+tKm7K6Ddz379lpvYMIcXX+wMd74LCY2vI/HKpGFlx+PVmFU7TsCHn356f7LX/gq+
42PwqYS9nAL5h4tt7+fXNaji0qf3KdhW0bTt0vqYOQP1rba7s5iPzEhgrpGTgKEAADs8E+3NFMgl
lFYRGlxLu/r9sPiX3yZm/r8sIHwiSAQcZLhwQhj7tYcoj9zKoDs62Lazjvbcao+A8eUZu0xwN0ZI
nJUysjsYEORBR2eGLLrEVmalqU7t5eKj+2o0hXoIOivjGO4FV1LGRwaiuwqI1IbY6Vd3/JZhSu65
EztlceMQ2U8HFEzYBIUC1svQnQo1AZ8EpD6sgHhdl/OmRqimeOvGrI0Nw/NdJYtNkjFTQtHTUXxy
jPNgl+c5yDc2w1xJEEB5bMHMJQZNw7Zpn0KHmyOrXOvYB0bKq7p5xWtzNCLcqP2HUVzhrOHaOYhT
Na0yWx5S/7nX/UuvSYE1E9DTanSPsnsOBk2pLmpyX+4FVfN5y0bWhQ8zdzU3uc08tSaMvfbUtM3d
4KQi2ujBIvlBdj0pSmL64iSEuxtbcXDwCK513u3qxJt2BjoDx8uNTZiMjkbQS81NHzk7ugZGJEdP
8jWzYQsfaSfqEoH/xfH8E065NUn5o8W5R2eImHG/Y5RKX0R5aEjHhFnLt4cv45OHrYdz2SichVwJ
DXHQnZOv5qHfuApQctJsrJoO4zu7qK8LlMQ49tYDFhrT9E+V5M3sva2ZYC+KH1MYEUZzi3K/Y9b7
3tO0J+VHPZZf2/YbRhZsk2Squda0AbiN6T5uioMHtCv33B2KzjoMWn1LjrZ6jLvga+jmxg02Prlx
6V+DYDKc7Rmrxjrk0bK7AGZCLstvoaiDeEnO5OQnqiRC6M2+t6gGD/Yclu++iF00Q7W8NKDUkIaj
ozvIR9fS9heIMf0RH6Z+4wgN/Vz44R7nCnojzs3wOa/SAke9CFZY9rCDEdxEmwxw0jwSodU7y2nd
Tdcgp6wKUqsNn8IZ31UzZYdCAe1YjfB+bqK+iq+5ft6phlhhM/fuubPzeve/m2TR0Rr0NFXf/+//
ef/M42ITt4wev3U/b282MM5/u0Oe35P3toveiz/5XX/fEb3fsGhgQJHLHsfm948N0cG07NFdgD0Z
jqNEj/7nhijM3ywL/QPjvM3OJ5Zf+seOKH7jxMVmCa/TXAoX1H+yI9KG+sv6a9kWOyGMLUzBXPx+
3adK2HEGQ8J2Z+ZOnu2NYAln0LREUKP1OYFyiiO+AZe6dfb+JdZRc2iFArykPVpK+qAY4h++svtU
7AYximuH8CWGmUtUxB2aarEWLxGSROe2vvYJluhLxCSt3aHbT40ggNL3FaQQQorDWi8JFU0LAFpn
XjjHyOfUu9U6zzlNMhjCIz2Ow8YiqBbStZGUzUITAXdgFkF4zarufIi61tsQ3WjPiMW7n6l0uqkN
D151Nad0tqTltqp1eu5t0neogsb7dAnfmFngfOSIL5gowrBZE6ogpJOrIIp2oSS705tu8pIxXWVK
f8n1VAPR3b3b5+Nju2R+4kv8x1ySQNNUBRvM1uObwKlIxqYwK2L9Le3U+e9RokusCIgSSPHsEjdy
LtGjnlhUsOobEhirsBDVXd5YdbqaLO2/VZf4Eigdrka4+og1DVzNw1Utm+YWOUm9eZ1FwKIbIpyY
0i8WzIXIuhVNpASmDHcJTyFJt9ylCrJQKKEFLWldoV+07pKMlQ9D47VJpQlB4bHJ2SYA34tOp9cz
vb73WUxkK7IstAgN2WYJfJHpGsa6OFXpjDtIULC0DbKheuaqRIbwEgXLlYYoWUw1lmhz1uo5uuTG
wB2EG9ohwChisi7PlhMm9ZZPMD4z78zui6qOHiCTJMxuiRMycCaeJpagWvJ7aA3Z0PUIyi9pNm8J
tumu6puTYw2WsRaX7Js2IlzsBkbXd9VyB8VNvCTlLLfCNa8ak2LPidjQKgcQ99TWPbHVwHMm2uIx
3sBELtsuIH3s4q7wL9m8S0xPZ8P4xiDBuyafSdY4vkT6+ku8L/InzDFtiolwIXMUYr9Mn8kADomo
tt0lG2iWRg8rytfXbS7tB90O3pc0adXKTyO+qoFLFrJ2n8/3EFrIHBL3ZQPx2b/jJZJoLT6RsScX
us+I8zDvtrzirbB1eoVhkkyjVTY00HcU1FqXzGOjRXeKg8mBZDOSkm1UgWpflM6bHyYMWXIrtsji
MKAHAdHD+MTrZRNBrokqeGLs6KpqgEJREaQ5LrIlTUiyXXiWs+1rKtQT/9VE8HhJzMz7wDQhr9wB
Z/wKsd1bJUvmU5beC2XZsL1KMUj81JZ8h4fkmHchEA4Hw+ESIPVHsqR1MQ/TBneUPDU94VgcxdDq
dqIhg6rKqP2IktADjHQJqTaXwKqdzlocYEYjWoWOyVcGLkpKMUDsou3uEnwlxEUINmKSBiAcnT5a
j78HZS+h2XrJz07zKClIuMRqaW4MohWkrmUuYnYT8STTJ4Zb8cC+l9KI39NLRNde0rrTkttNlgRv
wRs+4zNqo28E0stbd8n6jqY5P0e+xkFqL3ngZkkGw1clJDxeAsPhkh02Fjp+UlD4YZmlf01eIPzC
E5Us7BGeyksEmc1keksxzNwSpyCi3Ji1dJEMQ3uvSD4weXD7b0mDUwM7Qg19hqwz5UfEnnVi6ZZ2
uiUOTcPX/Mhio3Jm017w7iWGd2tfUtSOWzenFhjoK8gDUtZeh7MVL0huvNRLDJvwmvlDAwGGDZpU
eGyZkBMX4/2+Nk27/OxETao7vSS8IS+l3rO8JL+1uaTAdd9O7l5e0uEDPb8t+YYlNd4sAXJ3iZJ7
l1S5tQTM8yVqLi+p8/YSQCeJHnZE0sUSTu/sSr9nS2BdL9F1ewmxk1cwHuUl2T6gr/ZL7pTEe+hn
9ANOc/+u/FE4h3gJx/upQSKmJ/MHAr0jPL/E6LvM1VjSysHbWnicCjImnYwfTYmZnP8vzPSaWJy5
0pGX7Xy2+2M6YgMluz9X1soeTDzUQeXeAcERXw0Dl7g9WSVnZ1APGeyA+D6PupwFxQ7Vcm4ciq/J
gg2gtn0Ua73ABIgrR3ivmtLbGnPtjzDjssF9ChcIAdIBFcMqhzmofqcUtCAi10ES6rUk/tdhJAnQ
5MLSxWN2IR2ofsKprebgXjcLCcGNgRpvvA4GPklLYAntgk0YRBocUI7MnZ372VoueIV0AS3Yhm0f
Qt1HjFDAMFSWh613QTMEaaff8MYNAT0zCyZJwj3D6s17aKyonSyuVd+IOyKsZw3rZiMcxPuQUTKA
E4MJb4fVOlbBVSwIj63GVn6OUWIeQ/KkuJkqXM99NW3kFAOiYKAa1O538EkfXSiNvRVn5aYLYE6u
dRtb1LqHo3zp0hgmQlkRroZY0wIxs0vuVkfpqFSsJwmw5DhIiIkrZZSLm9VwVA+RYhL1OnQzPe9G
bEZA4CPvsyzrEgQS3sTnCE4B7iTgW+owEBsdb2cen8/AcaA7DT1HHRkhyBNYbctr2SXEIn0zOUDu
MLZ2X8c8K9Bm9NhRYcoL0W4yESfHEi7VNsJSckYpynaqD1C/eh9ojhfbP7w46N4yT7SbcZ5wxgMT
WzO1lfFmMBNUKKkCh27Y0lkV/lDg1S+QrFZ4alMHKm5pGF8k1CccQ0Mfl2sv1XWxseu4n29rGBq4
u3lgcFVxnyFAi60INEQTjscqNsRtTaYTj8EownJbWlq82gxrk6NPbOm7twy4cycj0CK9KjvmeUtl
ACtC72KNML27eSavjw228dECK//aBP6JgmlpFNKqFSfVNKivQR91H5WN1RM9DfMWo9Qu2UyyE5D2
DY9roKboyN0XjpUTnDBRX4+hk837fFJMZ3HjJDdWw1hhhZ7F/cumGzLNwZVUdklOAAJe+8whClZY
6lv2t7aeKCcqu+iU5cqLyLt5KJ1sSuNtyJCZncRvyMfTXoMJGbdycqddizg5ZV8dQCQjmjdW2jXO
dR/G+VE1lgejmMVuNwzNsvsR/IZDgv+K1T1DMwcgFhNx8j1vk6vMeSBMUD4LFBh8F1SXHj0gYq+4
M3RyKKyofoCWHJYbL7Sbaatj/sjruHQneK5WEN6MSQteSJBpfWeiUz/YVe6cgxbD/Sqwna5ZLQ4+
yq+0zXPSK6x+SHza3PVtssHbGDD2oBF8ZXAwfVChGq50sMSJg4hCoBXLuHpOB07FLBkRsITYBIC3
9SKCdS8Ul5ffERxIT6fdxHIRDsvpKInw2NP30mXvHBSCMzbhKbz2wJKYKwotp5nXxg/zbZrHYLBB
KAH4YYGeSKMQaXpOA2kx/GWPvtPlFFwVukftBw/3PdfKOg9pH7Ubq/Kzh2jGE2zDK3+2+xH3SO/7
37XozS+Udg9XnlLG20RzV70O6mR+GMqEe7ZpcVyQdWdLrv1tAstATtNqWBwYJmyslzKeyApr9pgX
B1AzccSFusIiYCbpvsRGTrIR31e7Dqknyzgpm6nER5hximnjImgOHqf/k+P2TLHLPhLHuLWdbEf/
hoo3TsTuBtEC2wrRpyiMT3PnpFdKExc8arlkwWM8jMZG+5n/gzBl/q1tPAIe2aALe9tyl3qWyRSB
oIlQqq29GQEMXPP0RosmnzVQW6DJJDs1D0MvyI6UvvFeNq17mIBYeOUGlqYCO1vgyR4ZMXHd2SAF
l95rPeJVOmPgNdu9z5NWYZAaLYXxJtDvCtpGO4VOshvo4qD+J3O3Idg9Yz8W0jkK3icezNnw8mt4
CtW41kL2AmU95MAKeA2up6eeyGXV8ykNpuAh9TkT3GfaIgvJjoCz/JqgBqzRKB80xgIv1FtmvYjU
a5H3PTeVjIjrFMM+rev6JqLXJ7kDlkiKy7aqXN52mAkYa1ltH915g6udO3D3wXBI2rijN1YVD3TQ
18a1pziTPE2ZCbzJryfMAu04R/ERA3QMKyasmvygGgykO0BrU/s1nyfznRpG8p/VpFXwNXXCAgQE
WQuXQ1InAsi18WCDhu9buCM2lIUY/M8UBxF9KLb5VTiY4kApNINe10G15OPV5F+zfdfDIfUomJFT
boHCUa11KE1cIV2Im5RjoDM+RgWAoeMUY5mh6Z0c/aqQOkxuSukO7nqGeAxFMLXbHaTB3th04eDs
/x97Z9LcNpZm7b/S0XtUXMzAontBAiQoiqREjdYGYdky5nm6wK//HjizumxXVmb3piO+iK5NVUbZ
SZEi7n2Hc54DMtINb+Dxy2FXpw53l1uGzPzKZpgblKO9JmbGnBZoLPLb8+6TzCi360bOxSlfV8mg
HGIT6xeDX6e+KQUE1iB0XAj2PUqM+JlLyuoOOBJKyhwxTbfjhC4QU3/SjcUTeAcjfUe2OFb30dDP
OOzrJEZ3F6IlE5013qWN635KKe5Avsx9bRO2yarAq9pkXgI1cmzsHYqx5CjZ2XJuEID3O1trG2uz
YIA4JkX2CbNWSLKCCjgJVj93ohHWb4ouUXjmYrlLu+iaknkzoL3IkEznLulqq/8Lnoq06thLQtgt
Wl9wTZWxEn5bCCDVDqqd0hkxYhjjTZ/H85c5anWdAZ0aUbCKsYMXCqxqQOK/HaxI5/5HO3QY9UYx
0Mjn1yHqOJtK6GFHtEylRtXCEssLndm0tpESje+d7QwrvNgRFrdQWwASohXOg6RrI4sU3zl67iI9
4vfhLHhu8iRSLzOKRw2lIq4mtF+5SDZGOQrFw2oDsJ7QWQnFuRWsMKPS/tpw9Ce+bLTuqVMNOqYs
rdvPhWKVB7ANyja37JCs97wbtn2xqBYOZBN69VKYTAiJ1riSiWDskzotiLiYxQJVmY/Dmqz2yPey
f+STdwPDjQR/v7LVyp+W7lCLUn6GUof2nmj3F6amfboHdaPdjLpq435w0f0Pjpp/ipDl14SNF47Y
2pUqCm8azVp4JSS9/OwOQ8O5hCfc3Sm8secGMsnRsRaU8BLeJTGCTjg1Xk2zj3YuRNPeAyPG3Q5l
cWSsDlSPQbtr/bZW/19bAa4v9KUC2p3gY4H7/vsLe5/7zz/9g/995Hg/fLTz9aMb8v7vio31T/53
/89/+/jvDC6ZDZqspP71au8hIYC3+HFq+ftf+V2u4vzNJVhUM0wWNAbjwf8aWzoOuHxhaaz4foEw
OH9TcczT9DgMmlaRyz+Glja0fALEGHd+H2eyFfz7W/99a/WntPyf1SqWi1yGn4oywuGSBn2LNuen
LZYei3IqaUyMMVZulnYC1V4lJwNPzI0t8YEjZ689g4KcTV8kn5IpwzWoloyZBLhwlTkKQ8vR+ZJi
2/cIuLKvQOYk7vi6PxW49f5CdLJqSv6xJP/nn5cP5sef11RmjGPOrAZukk/k0eOlqbn/NlZJbnTN
FE1rXOiCBULDH36lf7Dv+y08689e+hd1TW0ZRc3NMgdJhAd5YZJzzrLG2QExr/x0UIiTdjFpo7Fc
wUnmRa7sJCa4hefaiB/T2myDeWFNVq2rImAt9sYmlEBzNSQZNZ+epctLzj15CnuQ0oldYRBsSxEQ
QH2tx9SHvs5kSzCjAtyDfKFGN/yaJcpMiHQzNXdVXFR7euLhYdRFdJtxhG6yHBskEbDFTeGK6mQO
bnJqGQp9ioep91Q2q7eJSks/F0uza+veF+WXeYzFAQnCnsgqhbYoprWbVPFkTJU82FAi97meO5j/
ogTN58CMxO16hoHa8Er4oNjHJdnjiBcoiSLcSm1sViCN0yfTCi/DPN3TPbbcFd6UK69GV7rHHg7i
zZy6L92iKXtAbscWsqs3xxbpiUt0Kgp6lzoikceZU0aNQ7LXJ2BGo2N/7gtoliNT8Q2I3BuyC5SN
Ns4XKWJz1wGQ9NGc6izkGNrVo4SYPoRUFnlyrsIF+A9SwjaqQMzLm3CZQy9qa28kHFADBFWlDfPP
kDEYYvIdGifpsbzqdgnuwX2VOoavTfAMSjlDKJtF5fPGcEMmdU9nY4m3KWoj34qQm24YKM0BkqB7
9pn6DU8NANfhGBKZTvenjbs6lo9yVMAuF5IyrCBqsbYGJuVTHYhYgRcuJz9pIwxO3Ojwg6r44g5g
d0ddz2/deBUxparfOVZ4cEpL7HvAxgeDUImto1Wxj1K/3hIOYTKyrxNvlPryqMjmhmmXr1TjuB3j
4rDore7ldLvwGPk2S4TlO3TETEsdsvd0RmVHlK4Cr1wPbHks3kHyP/YZNRsmsT2MiY0LiIN1o9dZ
DNK1nM/SpHrZ4PEPLB2qRtYQE1Pamr7NiQFV86H2JjeEYOaaxCk49obyZG+Zz2XZgW3QGRTGZp17
dGEpUnoFFGqeoldq0GjZTroH9H3FuimOCvEH3LzsMiQNwKaqe/s4V3X2kOqq4s22vZdsErPKpON1
JPw2kMB4HdKz5UgMubGNbaViHNtD2fbgle6Vqd1jj1B89O/XQQMWaBbuMTKzA/b5a+Kw0mlm+djL
5GjWybbv4/NIkRVUJmhVe/Rl97zkzQU3NuxoMVxjRh80YFmyIxrFxxv+OUuYbFtRe2ozDcBC+dgp
lLbS3TVx8UWopd9Tanm5zYSVCiXedrpxxnMMVmJh6Z42UGvBhrTqRdrRTRqW2qmwMDNvqMjtXRRa
bEnRh3fvLK1MPvdSPEiYfx0ar6tC+bELE3A2pTtKtjakUImyZZmMpsP9HOcEPwje1kEu2NC3uWvM
WwRFOpOjmkE25s0t/LN8KxudqV5NlIKWaUSbDN0qj87MeyfUsM2CyDylYFyCXIniG51zkXGDeCqQ
MK2oquk4w758bF1sQEtvQLeIFLFn2dIFOV0/rWZpi1sMM+LgNkN7bUJyUSZMOkFSkS3ACoA/yCxz
S9MOPDRvBeuy8FJjaWs1ffZNK3ucy7SnjwKEamXGM2PL2G9rmyiKOQLIoSEqVLS6PWuNM2yFQyPS
wy6Ezo1YL80Q67ldlxwweeXs21uxBzSc+LaA2eNWnflasBKyw4XzDgNBsTjMICYn9VhhLkE72ctG
UatvdlQGDLz6vWnp2hYHaxYQkflJV1pwJkl4byd6uVXjECtOx2qLnn30YSuoB0ZK5XnB9fLn9xjF
xq8XKJpHcFA29SRFxC9iGlUxYlXJ1g7Kre6rBDQzVtrNAO/7+Ocv9Iv16vtV/dMr/VJaZL0sYwFw
OBijASt36H6oS4cvlNE2MFzr3dKIsZAm2ncIEez37Kny/vxH0H/eyP72I6AENtBCabpw7V8Uqk5V
TmnZLWrAaUUxLQyNXRbGh3WqigOttRWPbLjsASJkH2TYo8/hepLEjOGOIg2bozsxFqq66tVK0vYe
7aWLsbjllI/UsjxjnQmDDOC+l455FDBpLANNys5vl5lDkAyYtgFaAmvvWwkgEwr0SjFvi3t+DsVH
5vH5z9/vH/1uf3y7vyhaUyPP0Z+aakDcWHjtWubgM4s2D1Tnsv3zl/pZ//X7J0vmJ5I1dugksP9c
h6kTbWXP3AMzlf2tZ+CP28N405E6e61Zv/75iyFN++cvLQC6/3q1VSH2g9peSUgAl1WqBWYy3rH0
1F90wl4O6RR9VRNS7Ror6+8YDsc3Tq8tQa+wxNQymCAOvsSTmw5Bym/SY8Sxz61G7tJu6G+GkMON
7rPwkoRfYWaSvRb3qelhPC7vBD4q4k9ayfxW5d+GVZ6BpkLeHkVJs5YnQKv+4pH5Wej2/UOl4lct
9J+Ow9tdv84/vE2Q55bASa0GVgPkOoMXsy10IkkKRFV3yagA3x+aPPuLX+UfPag/vewvNbXWVxxu
1aSz2jV5NFrzq52p3MxtyDaWce5NOctzCMn1Ll+rHKQG2V88qH/4I3AouRbJu65jEAH20zvPhSq7
ukjUQE9winZciVjoT2g6wi2pEMomry0CowT1pm69cer/Lsr5l+K5P/g6A7z7x+v/8uQMEzlZJAka
QZ8Pb/hZ5LkvQ/2maCy+2Er0F1LftVP4pZPgnaLWswVGN/7753eLi09p+4oIAVPv0lt1QkKXdEDu
//yp+YPT4KdX+eU9dbrQx9ysjKDopbqZeIOQOgy/x/71F7++P3ql9a0gLDXpVv/pMKjdoST6WwRL
OKHOcFSMhO6Be+Yv3tEffk1+fKFfzgH6j6FHJ29wm9T2RzL1l1SzwdUwzQA4POgPWdSzGCYyML6A
X6IVqPv69Ocfq/rPLbMhhI3dwRHoiujdf/7t4dGcGlZ/6O/stA6WqR0fa82Am8EuNKjJfatqN/Oi
MbIxUqE0hD/XbNlrACAvlM9AGsAyIPRv1uqiPKIhfLFaPb9TE+05bREI/fmP+51T9fOXDcAM+1Ns
0OtPbP7yNVBUIMfF0vKjRcOxnCHeqrFI9tWSC9yIy0m6lvTrQQRDF4OKnpJ6QxOq7BJJ4Khpljnc
ZY5T6FYHytTQTyuVdRc9TQe/ArdB862up+gAV4oSTjeOqj020KuJ32JdasFNSeAsLRW1Vb0GYuYf
WiJUqAtNsRXWaNx2XfdbifO/NoP6cQT1n/+/ydBJP/7hC7JOw36fcp0/F8jzTslSMcT8cVj1XXf+
/a/9Nq9y9b8ZaOlMGJA/auxcDfEdynFsjdSN3/Xjf89P1gz+Bgca/9EFleV6oP1dY6f+DcW2hVzc
cbDJ2ZwN/5Nx1c+FgO2Y1Boo4S38EaqK2O+X6lWq3VJmajEG5WhUGK7Lej+ZTbFvU/Wst517SMIR
L6IKdCQaPtgMhKfIhAL0w0f2B7MgxIM/neC//RzwUW3TtslzA0v08xmA/JSYgSqkrc26POgBLht6
tquWrTXcxvERumRjoXpNzkNCLzGbjNa1KDyl+LuRLuuPQ2PDMQ4W2sTkrIvyqKey3iZODzye7fZk
2ceamT3bvo4NdX8/DzN57hSuZm0JOHpPExcHemQfbrJPFNEdspTLlIU3mg7ph6TFsAM8VUQXllzF
JjWzxwF1gN8B7CYho/IEix/PxHOKNI2Rhy95IW9wltlASvDadfWjPpOxEs5BGul33I7wfg1yFPlg
Oyhzr7HFQiCqFrEDzripJAvdslB3Zhyh9DtVSoXeiW2286JkC+yq9KGxOqQwMtB0+6aExZlmwN7s
5kHKVWeH6mWW2RnhJwv5aDS3Eo1ToJvJCzvlc+ssN5Y0P+D0B454o319ggoGL9A+tWZ7tUJ1Tw3j
Q5TxJgw+G7bs0dYCjTkPmd/P+XuVj1+TBrXKsOiqR+/xTXOX8NCZGtybRS9wm4KVlfZyxH99Upyh
80hgzjeTqsFOsB6KPDq04tqV9taC2uaRnPnQyOhOFaRkTBv2ZDo73byc/QREoDXdNKn+VLCORLRl
wBt6aEr5bSycg+zEpwWA/1xjAo6n+pXjdjebyVFrSAUsJEKCsCIw033i67XJzB17PWNjqDZ+r370
ZzGeIyV8DWsiQSz92tqsNaQ9PKl65anq16pARypQSIwSZBmyhErCwFR7U/dpdrcZwghX9m8pmEDN
6HFKgWCw+Wo2sfWUoNpD6VV+rWCLMRIpSDpAsakJpJ5p/0X0ND2hoCKkv0Zt4NvqSs+IX9JCfTSK
F7ttl0uaTdnLuBTHLjPuQzmOe2dGuQfYbzoYmuXZI6K60vWspiSiMHu1hvAjUyq0YpfafOpQvWzU
RlmDJ8Q9LmUM/dNyqKP0xVDLCfBo5Y1pfLeE9u0oGy+yYKGwizHm+9apT7Zwtyh4GK8aM+oRtwuG
geQaJEB3vQxzP0r7QDdU2IQsDRE6mlngxHdjpN6WFUZr90AmJYFAUN04Du6SBJZgFMqXeumDhW41
XBJScUpkOYranhpXbXlyyEtILN2fmdnhdXgHU7drsjvamO1Uq/eMLVEPkl2IYg34UjCu4Vk9ohlq
pRd6GnRGBGOV0kbwohUshxGijyrropB0IGJVbmLNBiqwPCWjZnrNYH+CqoWDEjCVhTlxBl5OSujF
1rq9psltuTj2kemsHzXxF27WOzWEU2RE2sUVqPUa0IkEYxxk5r6hTDgkg/m1yohnbzAbCoNdv1YV
uywvA5MEoFuW6ygVbel4apte12XNdglRGJKm7pfqXYvJTnSCTx7gYSSUg1MnJ5ThEykm+rSt23GH
4KjlKDLvWBPfk3hOJV3WjyCc9yPM4m1ixhSkXf1emS7iJOuZfBiela72tDTb5Z1JOJisCBppn+yl
vYRl/2mYixoO6YCZw3aeUTY+2BOoP+mepN0fqwipb9E+wiq6LHrzqc/NN63XIP6Et2IePjVz9pLN
drHva96HBX9BIWJwBCGJxuQ6G8qVdf4BRguqDRtr4gCddMgQYTRGpW1iu02h3E+HiY5e0/T90tbf
9KzYl0P62YkQrMCKg2IVayfydpgKN2z31cb5YE/8LE1yFEHf+M007xrdhfpp5J0PJDjbdCreCnSQ
GmPGTdO5fP96QZvKoFVLUW1AU2Fy1/k8YWfcgS/Ezb0z0Wx8g+TArSi6z2lm82BA9417gi3d8K6E
eqhMzq0Y+/OiiXHTgWbYd2120qrosETGRxMpoEDbKCcfs7td+FiVMDzhud8BcGZtWsFJm1v0kmQk
OmRzRJAmZejrQF549A6okEof4N1dWyOeIF8889VUOeHXLrdJRIpPVe+7Jb+Knrwn+qf7Lh/2FM3t
pmWkC6extewTk/BDhe1m6qAyozSO13Q1J8EEi2dlDm8s89OgZ09h0TGPbvf4OIh9IzWv4hASVbjr
43Bft5ZXV29xV54L135B6X0guNDrc+NIRmEwjTUYqpI1FUmajmMdBKI+9rz9JrMfmnDymt4I5uRM
uuTLDAltYsHs8k13cvWVneNFm8ZgFV1sbHeP0yXzmKsEy6piYrnzaIX95zaDzxAbMrux2hcHI6yJ
icea8Jm4GiFdAwPMWwkXDPpysiEh615Z9NMsOblqaW2YTBBIYdp3pow/6vkYjbaPsOQSy2+sNc44
0GD5LptW6GQkV+AOmYMPuXqkftvCvP2WaOXXODIuutWfdasNkix6BE/uCwJiUGS7r04qvXT41psq
2heOTvgdndmezUbyEFZoNM1ntB03dv42Ohlxl+VbpKRel6W3gxgudmpt9crkeAnjk8mhtajjfdtV
4HrkeXDT7VwXF5Svb0W0GpcV4921m/M4aEEl5xMEj8JDbrJNXTUodPJX1OHzsAyvSJz9HCJupqZQ
ysr3Qp/RMZwcqOcl43iH2GzCQepTZ3XbImeCnjqbKXlgh6VzKMSTZ3AsI8Fn1YXefvB7Wewn/bSk
zmHS8otwk48RbaWeRwn8Ne7PCkKZBCBMzxVn4lRFaJNyt7mNjOy+LQkGWVBWFvB1oH+T9fcpPpW4
nrun1Mg8JAu7ukthwHaBShNNPHbyTOYJRJ9FQw/M20rv7MUrB3tPiEkA8PGrAY4kTgA8NnyArXZr
FBqAD5kzyE78qMuPxKp6lm09t7J9Z7gd+j2STybm8bPZKGCqiajZyhXAplrG/QQDDRlTx8JECAqb
CgQc+RF4u+DvpfkWwGCF2sW8q2PrE7C6L1o4vHRwdpWZBCPbaJ/bjM3ElD6nduub5rS12F+h+t9a
y+MIkHTg4M3ImdPN4trUeALDbj+rpC6OylaLTizX3O0Uy1uoUps4rMhf/pbHWNKS+75xb6YCf1dP
ZGF3oySzZ+X2Vl6RCu2qbofR/NKAGvXQB7N6iWPuj2T19V0HriLCH7EeTvsF57WtvUSTuCaD4Dxw
9gmkjwSBjw5vPDGwnTi7uh1upSjuR/UO3Y6PsAxx5ZtCzKlkhEsMGeDV9H2a+sCatNukRr2mNPKG
4B91OzXWN7d8jnk25yq6QaaySdsqCF0aCYiuSc8SdEb94jxaU7RzjP4z8XQbNlmDZ4bISBzqh0Gx
X4hUAxjYPJN46S+Nchi0o+so22QlVRuUpJIcUdIOH9TicTT9qJpBjA1d1rgrcJnwqaJ4igS5G+WY
JsQHFbcDm2FKy25hkVBmp9qxii+KGbMiihbyg0O9pYZs3f4VmGP13PTsfpbEHLZj3s/fyh4qjJsK
hx2SPn4dpyrzjcwVe9NEBrlZrBBI7oAG2DHJMjZN8cUq8/je0QvrKJrIjACQW0XganX2XNmu4+dq
4V6XEbDbrPTxGwL3KcjJT2aRq5iq36OtvElhawxbsMexD9SQBzZPkAMB/oH8Lj54SecLYWvLOzBD
ERTm3O9DkaoPSHh0dl9Rf3Hiub0RZVocSYBtH+j3qI8pzORmbMvuviky/ZG9gtwqbsPdksbTQahd
faxGAzqoAljQbiPuuEWRXjirDgwFheDeYsxd2EJ1cyqrNEKb3QL1BFl6UNy6O2kluq68HbobdyCK
iyKO1ku2Lp87m9FTb9gqDtX5VLGMpZ4hyfahQtj9LFoBjQxSxTEF4bOLCJC6GHKpPrFAdc9I6YgL
bHSeH6eLincnhWuh5GjRN5TG6cUYe/PRdNP46upivu8I5zqrEyud0Ujlpa3c+Dgbz2Ni4pQd272L
1PAaAlR8UgxjHklLnrVPJtz2nWxY2hoQgUjTtofzlCz2LbvA/i3GtRMQD+8ciXSW72m7lHcYavo7
Fs7dBdlgeigSHDi44Ag3jFZ5WeXgh5xXHCV1/cbSa1iv44KCPtTUbWWkBSRAPMpEXHGqZDOLuDha
WRz5pG5VPTZfdNCFW6LNirfUzLUz3mAdUK+tHmHdz5wpCBWLPLmr5JuMB5bOmH/HPp8vAD25Seti
Hh86vpkzMTrdXOyxTpXe0Cxf4GXigJu6wfTqcHwMFevJKZcLKZCfrGSlGBaHuCKjfGH1aPQEd1jy
2CSpj9vEwqthbgHBRp6huKDhuX+F/TopzWGcUwH3yvhq5VxmWvrZaDMfLvN2jLIduX1+SeXGxWCY
knk/E+ezExlij0D1RWrVo1Yah0Q459wYYFws2zjV+YmH/ZidNdE+q2rv+rXSvS4LKuc5SqgoC+tx
NManUFFZRsLvhua0SeLsdpbKIXLmi5NE46FWGwMBnZYHRTlCq120y+xgEdEMXD1p6btNDDBs6nYQ
pHdQs9G+a8ZubPtd2SmaV/sdNrMYhWnVHdm645pydlFefqvL7unPhx269fOwA5YNq0khgLzo0AZU
4f4ydIFBSMVkWlNg5S+0+clxkYO8yAm6pgKe9UZYZXOWVbTccz7F1wmZwaOadumlDRtr2nRWOb46
YP7f7e+PSrY+NQQnu2dzfZLi9ZnK1qcLQltzVL8/ceuzVy1R9jDhOqd05tEc1meUMLT6NK/Pbb4+
weH3h1lGencz5JlyE4U86/P61Dvr848iPfILlC2nwu3c/TTgzcA0ETqHNMzQW6pteKcBedrBYIwO
6nrKkA86HaKQk0f0QCAbXA+PtjlzLgE3YDwax/0DvoHuQVRdcXQ0iwCLpe0v0UI3hlmBXJPQ5Mxb
Tz9k9su7uZ6ICmyPD209JdFxJoe4BlaKIY/Y7vUwHdZzVQHa6xffD9sBFWYwZ078VtbUGbWY3auR
Zq4fswx6ho5HwzBNHN8inqxjM0/xveFW6pfQVaRfNO5Wx4K9BSDOJVANmbqf1puhW++IcL0tqvXe
wGw3fyP/aUBxy63CPKd6VtebRvl+6fDbrDAKcBM1653krLdTt95ToZ3HBymr22q9w+L1NiOY5CkJ
gSBvnKVbvjIkPK4eWUQamto9T20hXp0ZO+FmTnLtZTZthlqI7OdPkythuMw6CoA6YgCV8d30B2us
NktBAaclrrYhlOJsd3l5jmNoOFqtxeca+Bdw6Yb4bUD7mArI9jNaO/xsYI6sAhYrC80NCP8dWTE2
3tf++ysi9C22Nlp2m3tasUu+TCUC8a6q8ruqTK3PTqNpxyLlkNhbLPIbyDYGlQL5deW0wWCWveui
vh/13GVbzaS92cVEWdQt3cJ2AIXHwKuw8OhB9171E9IH1nyN6TaDSTE+tSWjnEGMdBILdeXC13cm
9YXLRvquEj6mafOY93HhKxNWfji6BYwbss8dGvYPmpgXhY3SSR9c1+9q44nkACogRdN9AYSYExb4
Lijt/OpMFuptpvc+F33nhSJLHm20ehuLuEfinq1HbD6PYOJjMhndLChtyuyhEDeRrvZ+OcYSLp4c
KXr6PPNG9m0J2UrY/5NvMy5ZMPxLTFWcoTtX51vkSAJTAH984osBGnt8NQe1uilNoe+IDCMIta20
fTPn4AlGt9h0i7F34mogBHBCyCQac8cwlbGKaD9jtrinLiSvz5Jw5dTpqa7kc6UV5cOEnvCiOXm8
N4ZhdDYRzuNbgBexl2dRte+xCCObUAkdTa1650Dgh1o+drtR41mrHOaaIVkdZIbO9iaS3dtUjvZh
VjNockv5hmmCCsIkNia3nX5fuDqJK0uOE6xNuk1TgDxo1TV4pCa6BZtusxU180WWxWB3I7egtKgF
7fyd2QCMinQqpjmm5Y+dsHquwp7f8EzXirsC6bI7PvL3zEOk42jZ6FjWn9BtlUeyLUKEgK5YeXXJ
qQrtr2rdYSvUlIVvAQeKUpDVMObfWII+ElesbqVKYB9SNSIqqjrdVhafXe7GX1GYIIlOO672pis8
qgJEFnPyPs/a65R/Ilrl1DuCb4QGvri07xa1QoSUld+sbrniskPrTCgBYYF9DoDVsTWfpiPCo66N
np5yOKqCxmMsVwtqZbTw5TXxBHmN3D1b/SIroftmkz7ZbR7AVnV9BWEAnTGaRStS41uUfMfZnlgh
6TxfsuWSqBTKAQbS5zE0EQ8NdtUEST9Wh1hT4iCaouU1ddYmM9JxhckMSJbsbMJB0n5c3sIkKzzQ
MfEWCoiyBZapXfBB1Z9xZemHSLHEMZ7c9JD3RncJK7u/G7uwvCO/QpKUqVM9aY0dyLWiGtfaiuyt
4ayv9db0vfJaazBN6e0D/HTFC79XZ5y4xhMGK3lt1+Jt4BP/fvH+3xrrL0ARv++j2O3+a8n1Y5vU
Q4s85jcF9+Hrf/z7P/7a72ssDRKSZqlYBEh5ZCLC1vo3SiDhd+yOEGRb3M+r8pp1VVkxef2Pf2eT
ZZrrusrirzgosn7YZAFdIkoPOpfuIL8W4HX+B5ssmGK/rJAopyxD519oQWmy2CP/vEKqy4wodUMd
2GWjrxvo4hl3O0ExEriguvLVsaiWR+jk0Miyeb9U/YfUtJfUcV5Zropr2Kxm1Gb62hPNscmQ/TII
sYiuVFRlI/umfAC11x3tMaJ+coD2LKPabZYmvbdqhdAibYwDakmO0qg+23VG1m4yx5TG5mtFcQIb
db5WtHRFzW56LtEiRqQalG6K0SRTvhJ0QE5Zq23MSmne4IYzcGKfFHASExdn6iGvGo1vhBsHylLd
tnm6ekUmfByFFd2xxXC9hLxPXzQ03qqelrc1BLNjnxrLTa3U1i358bbc1LZRTHim5+fQZbaVZJ+n
uH3NGCyyX8Yhd1Jsg1xSKcNVwUmM8MCYMNWM4VrMeFjazLitLVWiUDSH3RLOlUcuE77JRk16F/Ls
jOYuNdXhG0iI8+rc8tVWt+8N1PJbfO1+TPLzfu7MYos6rDzZOEm2a+gqYIyI2oOy4ybutNpr8ffj
43ftQ9aqNZm/kfXeW/Nbi9Nmq1OCbusJsAYMdP4XJIr3wXKVU2iNqBsnWrAEgq6H5cw4LVk77Myi
+kjVftrTBNuXVqTubop0vJI4RTh8K4dRqU1kV1wSyuJiM28KqV0dqq+6DolAzWQDxXjIXvVqfsVf
GmPfxhTWrbd10YlbY72/68qIvWW90zMulaR0ssCu3Dd3vfetkT++0LbFu0mFcztSIFRrpcCfygNB
GuMxsfNHFhKP9lpXOGuFUUQyeezClkrO1qg4URef0rUmQQLtUCZSpyyZq/vTWrv0FDG2DnnIZhZ9
GtLmhe+r+yHXmkes1c+iVa1XrBXRWHe0g+FjTKlkVbIAfNE9p2sVNa71FIsbCD6UWHkpRZD23VVd
q69srcOsVO92BY7VZ7E6pk3LuY6z+7jI9K7UaTfpeGhPYyIOsWQRFOOOwt0j4VuXtcQztvsCbeqh
DNkHUam19Z1hSVztpkI8bZvlFxdFrV8ZLLhQL8EZ4zt4ifpuvEFImARRhhcsj2OOM7fbL2hRBmSF
MfPlVj9CM0uvXWo4e6palBRm96xGnXwgvIoRFev2QO0j0owM64nrVttnyVg85ykuaX5ViETNeWSO
nfYkOwxK+ImZ++iHmdbcgvYg7XKe0C6FpAFyW5ut5g1h+4Gju/Qiyl6mkfRfVmHIewaBrldLI2MJ
POjbvrMwZTr6BR5z52EsIzDFnRCuqzmleg0vWqRLse6Yly9YWbmkFwrlya5YzabEDNeLeo+hHUgC
Hc1aBVW7XrDwEF3IzNqKYi/rJ3jnVs2oX4tXfUmRA/SaFWF57qQML3PnWk9DNNhB48zhSy6IHVCg
xeDsJmskMQgrSUmcOjYwL57cpGaOW0HyQCq+aNd8UZWzS7IPRVyevsB9ewHt0e8qayaMCC1u3cm7
uh+1j7FWx2syWZOnJF1HwNloIdiR1XLjxAoDfzZTdEfTx6h3xcWu9YkwNHpgeifGD2HNuMHOs526
RC+OQfy80jrHUCkIzCIlKGIX6QIrR2iO3dxRGggjocaTm+ipV4C19KBP20f8sundtIT1baj26QUy
NBMYMdwCtxj3hdE3LyjFQWhVBaufZmbsNoO8GRKVThH4w3ZMl/RpdPkx8mlermG83EuzBKJGmIBX
zRPwtnS45x5iUkn60A4pWvROF4R5MFceI9kIf9FxrFZa2V+ICTY9x1kSQG8OQHgtgQAEWxSuV3Vv
piRwFASQb1qVjg9ZxNqZOaE3LyoVtWK66kExCUYkXMPEuOkUe+Kz2lupkLCiFFhdwiKHm2rrnMKJ
+f/YO4/lvJF02z4RFEi4BKa/t/SiKE4QlCjBu4RJAE9/F1hVXaZP9T01uzeiI2rSoSYl8gfS7G/v
tX8IQd1q4HFxoqP2ng7h74nlT9AXmJwwumWqbdb2Nhu4x+LXnbdDD0CkCDPCj2X4bDoVu+Lyb4Cu
RLdYooN11QXWF3/gbc5xqBHFn4NrlsV0VVIa7rSrzI70NyPqIUykpVZPVu3/dNv0Sox2gY1xo45p
BLL824EO5hXVmTZ19n4MykxDa2E6QrGjkT7IUSyjZi99rolUbRsLD0Ywx8/glfbkIfMNCAhVYqwK
vjLlnXdNUL9XIw+U1+ZPQ0NfQDpOelPm5s08zOgScPnZ7dLPbacs5E0jWKvlkwZbFu7sgfO8X7D0
dLS0MQn+xrn4dZBWyC8V1/s2x+qwlS0EI6wwyWkMo7skbtTVNyNNasW6TwTB4AkJYl3RTUYoEvMB
t4FyhWBnH9ohU0+EKLvN3EbN3qPf8mCP1ZtpsAoRe93g4996nfttAp9IkOOdiaOLIZMW+sR23/97
3P3fxAs5tzICtv/jcff6Vi7n3b8cd3/9sl+Puw58a2Q6EoPE+X5BoP163OXgGkBNcz3Xweb1kT/8
7bjrfuLkKS0YnhjkXaSu341b9id/iQbyHW2OpzZ9Jv/guEve8d+Ouy5/DbaygEGDcP3FE/sHb7NL
V3ptUJZ4SFVSHMjfEDRMIAN3M0z7LrKiNeQRetTTcu9gW11HMAs+F21HI6tIvpB8aq5G42MmCovx
LBnMPrSDcw+SCVDhLHAmafZbi6snZyce5lWswmfH8otrlxlHArABhhi/P+dZ+2BgIYOgOMbfXOxJ
SPUpjShDfpf6HK65NhcZZWbEXKAf9A5I0SSYNzWH26cAN/16DKFY4T2oryp1xnjDlZ91nkTWajZD
9qc6kwejhF9+QHMcH5F44pekrn/Q6VrKTdTZNM6OSfqaWEyrCHoeEse5SUuMn1mcZ2cNEm1D2Id0
tINAx0Fo4/SLvupqzii47h/SKG9AZ7qHCfgB2svScJswLyG8KdZQUphuxMkLFiAPKaqmjMEowVC3
rW5W2rUZpqhlEhgwtDD7aKesQqxbHpFspbuifjB1+q7d1iFvFYZrO54YtAlTMxNvzddCjKyfXJ2H
/YSVgFpiJ3oc9LjubG08Dr3M74fcM/a5dsNyUzuheU+Fls/8IdJcZJAhBjoFwS5yEtZmCG6OyRWj
BUKoHCS66T60RmPXNU5B9y4cSg4ROcDPvKav+KjmPD/XYw5BK5ytBRYztlmIYht2wy72jeA8VKji
naVC4oUYzuI9msdwwvhCmj8O5sbbDO7EqchdMjzrtKWtkBp7h7lYY4+EzsZyoLWhlexBsmFhHooC
eZ8GleCug6zurQrqC9QaCqA74BUATrOCLEVLTuup69x1zsI7SqOl/ih0buMIS9ymQ5XC9YP7l5Fk
x7miHG5dx27F/ZTRkgoxvTUYNToSUoR2RMhpTgmtH1IEzfggJxoWTzxhNpkrP4rmDaKHdWMYmsqp
OinOUoHXw+RWq3o/eA2KT8p18NR9DB21UMu0Vwf37UDFV0aUnv0KypCLL87sis2AaXgFTCXaOvYN
ZIKXvJV3Y8pOnSemtW4TdYg7h/iiMq95PX9UjjwM9vAtrJ1Hqlq2k3CmmySwD26RLVtpc0mjcAOP
++jFV68YaF+BjkRsciZ4X/GRWdrddAUsgMjM7Du4WMYPHudN5YPIHcw7q0uMTTn696ZJUWulx1XB
ErULCq5Y/Kg/7fm+6AbMVnyNEPVLYVjpPbjAIy3SEH0UR3L8JQvCKvU21XJNTfLsMaiNcOUZ7Z0P
Eb2dJiQ9TTnP4PrRASMCqQo7firsIabbUqaMg2z6/BaLoefR2BhMVN2KomrXE2XOXCsq480BgUQG
EaoH4crZJm4/1HIpPzFB01b2RkK8A9MY4MsLYYtczST1XoMpeoRqk2wSVP+9DvOaVybdgU3BZGXL
bk0bifw+OzMBIjFthT+2F8tKKRFkYhGXeXgcXPnI0neNUtR/u5ksCvj8XUfH0JTmOY4ry9s3AZcW
zul7xzPfc9Blq9GbfkRZeGvHmi7g2fF2TotBCD3gB+CK7Fs/Rz//IMb8DwZZy1siDL+7ztFOqLlC
2UD3g4S5OIb/vNyX9ZJmTURwAINnruIitUh55RxLo7F2b2OUymRtkOSpkTCy9mpWY/ISpRUNydgG
wQpThRezTgJ98UBwgJBNYZQtxTeZmnguE9/mJJpV+DVoanquVCm+U77O+yyU1nS61LlsVhCE8Afh
MkCmGLGknTIRQ0aOMX9RTSJcFgua3c6MCIdh536sJpg6WFmaj1UGB1N+HgtOb/THT9LC/wFsN1aq
hKpk0sLK8Th9ICPNCZg+PXlUDZ4Apb0ICways9VFBHtxBOf03mn6fnc9GQEqIYcL5er67OL7xesW
nxFL0m1qoTJnIPA21LhBqi8p4aQ592EuBNWkLGcXMu5LzNbi5MxgeU3fKdGuMdzTYmmRr5TdD8FI
47MawE01dgwVK2ubAjxlJvqRyrEq6BnPJjjBQkguG89MFU83gPFq7dQizR5BagpimZTfrPNUw+pz
R3D3gafWkJuJsQcRHoommO8A9Dqr1ixukkqlZ8KUzh0VoPOIUSIqv7IoUH/ZyHnnVmT66CkE+kI6
Nb2lVNZ/jzq33yZleq/yyjp5JjjZilm0uJL/yrBxJfAtO9WZ6TqHu5FcClS8czwaeCH9wthLbuvM
owbYZejTd6GBXFzJKPoeNglv65g0/evksnrhAbJuYQAzUxjoOqiE+ObkIVnAsS22beWiWFkFmaal
xjShCj4vKkzWjTix2ymkIWM4+1Hjb7xRNVsdt+SSiCUp+EVNN13qzn2Jo5nohIBjSuJk5WQJ7UkU
A2/pWR4wsYqnIuigjfXjQVFrzz5X74PRfo9MoXeEdb83yF4x1h2xr+PuZEsKkUR6yS1xbovwSxiR
d2/iI8063zjHY7cObkwIdqup793dOPfvC9Dkhkz1DwQIbjt97WyENNWOiLN/qET3Ru1ve4p9MsSt
l8XvE3VDp8Hz2/uCieqxbbncpzXNSkUBenUY2u8cFkF1u/b74OQLWER5a0Qc4FsiSc4Otb0zrax7
wu7ipmyCK36DaU0wHCNUaUwbG8rJDtpTuG567nCDqzDE1z2XSex38AFOmaPTLaycDaeEXVW33RXW
n+ISOU176dTYvUbrEXfHeM2FSI5WYZUXUiYehw/h3aBUiPvMLds7t4y2VFslR0oE83WkkQNXYUkZ
EBk7SzMRyZ0fLZW6W6sX9U+GBYAQMq/aOf1cQfymvdYGWsGA0Y02qZ2RJNfjUq+4DCXHj/mkN07W
F/kxtRwUA8zETTr8N46JKSJJ0590HjLvLEKsECkAVsrWLRJse0PhvNtioS4QA9ij1bJbZx8bd/2x
iXsfG7ot8aYd/I+NfvjY9OePA8DS8s3d9+Ng4HwcErzlvBAvJ4f/3rb+wW2L28nfDxeuP6L4LX+b
/jpeWO5bfOG/xguSVQRwnViyxc7imvjlvuUHn2Dwe2x+AYr1L3/y233L+0RtAiVERJGB1PE0/n7f
cj+ZlukKUAmMH6AAyH9031ruj3/YgKVveowqaObhwufwzZy/bMDoJZ0PhMo7qEA50QH2AF1sPjMt
xXQhid/HLM9PnUc14pE+gf7REZMPrUKLdKadKLQ/Nylgo7LzPI5vABw4iSW0uKxd3Y3NvgCo8Xk5
KV9J/JlU1xp0yNluidogofVhO3dA8h6YrfvZ3gSbWV9MA3oIjkQ89m7ESwKAKHpq6YgxVwMLOYcf
YTwFAtyU30tIIg6p+zL1g60wibw2pf9gso8wkDZvpomNP8jqhjaldlDfG3rZ9Rqll4o7fljwqWkb
dCuFYefixhzzNxqU3AqMkL8Hl1UcQBBjXLUS6xC6/riJ3NnGBjxxgXSwT7CUjRHO0wneYGwHT34V
+HstMo0/Lw/W6VQMKxtH19ZWBWG5PuD6GHtcIR2rfh7AJva4uMYalmwLiDkwgHBAI4UeWxGvMjnS
hQkCb6mHe9p1aHyOStbvS5N0eCFh5OKoHnXO6TMoCZlsWu4EdNcaqHKYFxl37iIxAcfLh8AQ97Nw
g+lWRQyQ74VjomjPZgNcLwNYEGI08cV87M2OlsJw0AE1q2koBhDgNIYiL8X5y5BbDcSGQuGUF7O/
XIBjy8nW2NGzaWXPgJ53odcOe9mZ8btZgWFZF3UR7EvVi2c31HieIzOKMCq1PwOMr70BioZov3Wp
1FRnK9s0DgYs8RfpwcOJzfBOjyWHugbo8QrrbnC1lYaf0iT3IsnMnQcgd1XlIefexqVluHXK9h22
nTxUjIKTPejNRGzyymw2GSLyk7uwyFYTPr5pUySd/5gLY7roMKEFiMbABVWfP3bZ1GxoDaCKFvV7
D7a6OpmSu7XRBtHWTPxTr6alxVTMT2GZiN3QVO6JAkZk5dTYU0FOZABIRFa17SPYNmo3hdfeGlz0
dsR3I5A8NlZuJ1cTVtQqljDXqJ2M9rB+8suS997wvdjp0LovquGgs1QEJ088rf2ZcTmt4mARJr2a
QOgdpwiQJLzkflP0C3eM5OYxGnR2C2B4+Nrx2XKHq0Kc0RR9Mz6b9Dia4N+03ii11AoX8nlMkuK+
mSDvUF29BYo0P1PEmLxDNdFb5cv6ESZwu5dxn/J7T6f9Qkz/KgOmHVir+mvdTT+qvic9Vk9Wgf8g
hJBgpOnOg5qQvVAv6T3qCgcF8IpMvtZQqFusKJ5z1BRK78Zx7BnwIeJ6htVv3aEBed2A7p4DCWp5
dKmhFETm8hF7HmDq/JAHxsmkKJEVphivwJn7l9Bs0YPbKL+LArs5tRAxuAvHAS7iBrcPNVLdL1n4
/87c/+8zd3Y3hxn032+Lm7firfxoMNok/b9LkcsX/7I1ftQTWeiajF5REP+wNUrzE1sio6vfOo1Q
AX/bGs1P/AkvgsdUHvgZJXz/ypDSaUTEkp4G89dev3+yNQZomn/cGR2XxjrSZoL/KJhFjPzz1bRW
RqOdUjhEVpKfvfRupHL3tRc8pSHLFRa+bT4xeR4YOOLJu69n7yuO430fvMYgN1fCiM5MWp6z3tuD
u9oJUB4pRH916jTBRUnSLByusTafG1JC2XIHnN19Oiumpusqpmklr3E5rr3e33mar23KS56qAz3Z
x8yz7z3l3mDI3OvGuXdCcYMN1/KibzjldlMdbFE+Hn2jfpyJ44Rst07MDaMwV3n3bc4fp6ghDjrv
3dHbSUdfZe0f+6i4iNq5KZ3xubaddd2Vd7xeW0g53HkQjGjBAbP/NE/oEH7oPLUePkWd3hahQzlr
vJi2QJeR7R8AeuX3XSQPNpEIElzDa6eCJ9NXL6nDrywynb0deke8cFtkzO8U5m6aurg4rEB/ePL+
B4HhI2T/u77Ag7V8iEtVMMBMVOW/yslToYAika7c5g1JQPaTAjd9pJtbd5pupTLaVUxvGsjyrdEz
4OWT+c//AOcv5ysM05ywpGdijpX0PLp/AaAkTcCxwErCLQf2uaY4xu/VbjRzKu0nl87n2Lp1wszb
9yGUzWZ+HsrEvrgMjo+FR2uAXP2Y7E7tZo8rFsOmZCdFWGzDar6MFAH2TZatPR/V02SmWswUKjku
dN09Zeb0y2JGW/k632o74MaLi6yqQpc4g31uRoXtjEPVtm+t75MO4SiN831P4n9uEwy0lvhiN9YZ
b8XVTwECNHFzqpo6+gVl8o8W0v9dz9vf/r+Wv+v/MRSkYMnwqZH5j9eHU0zqixob5l9/cCf9/pW/
LJK+/BQwBUErppuGS8JiQvr1/mBjXAKq4zB4+SWA/9sS6X4CCrlYZx2mPJIn7/clkpi9tMBR4HPH
BsqQ8Z8skVIsT+8fXy8GPmT84UXw7VjEGf78aVpjFiY6LmDBPWXMs+JibFYl9wb8/xjP3Z4oC9j0
Ly1BiRy6qLcgHtqMqT4WiUhs2tZi5QjrZnjUJqfOlXQ7d9flRnH1IXjshI67h0pPxEfoB6DrqpgD
jhkUDcd9VZ75BxUE5ip90PQ8UCXh+nq8eJWpzjily+TW7XtIeIFno2LleUothZKyteBpV/mDQwMB
3PRigpbuytlGwWrMMthXMmbUBMaHNtY+giFI6ULqH8ygdAn50YrxMPQuuf3JkNlGjOUL/owRiDr9
yu/8cGKd+UgKGBjt/km2HsK6ZVCAtwxgwr12a0lYEjdBBbessHfsigPDFbuRFbxA7VSbdgyTm6Rj
lsJ8hgnHJpL1bJ6sLFxM6XrkPU/9LJQHohS2eXDmtCy3oXISuQ6Ayo7rBK7ia9XTpM3xeEouVVil
b03RJ5fWovRvpapKJufRkua88fOpK4EHSfTPTCksz9UQ+sTNq/5rbi0YY6/vQJJTP/IzdqRhrI2u
xoaAOnhdWACczN0A3EBPTfcEdGDMDsKw9J0xwyjkIFt8B8BkpOssjaN8C33SeGkbZ8IbiVBZ7R0G
EXeG5YaEeR1iCSuuEXO0DimTfqrsfJhw15sdbTnU5FXrNvfFTw/zD1IOgYKvs4QWveuNJoCGIGdm
aolK7DUqCMn0VGbY1fuQcY9grLYTdTlsLNU2d/Vk1HfxoNTB7iqM19Sy3jTcAIwVNolCb3KIF9vM
Leo3s+1GpLTU7tcTIvq6ggl3AsljbTF51+tgrFtYUT7Ti3kqp33nNNWucsW0I+g6ogqF09WMSq63
btY+j9C1v1BrSsWQPdNN7kPCeCnCbn4U1TjelZEHwqEbh3UmAn2bCj/b5iDOkVyb7NoLZLae77WX
+YhZW+ilmRUCBHKquYla/kl6VuA5jQSrWx/hZQ5VeCJ2Uh2sIg52pU2Xq2vGxbMSDucL3/4MMoDR
nkdaYQkTN8N5sHgNVgFBoBXiePYQkJo/kkipofqZdP74SXvmzmiCb02mz3VU1hxO+vFkd5SoxHIG
YWN63Dg9ghe4uBx+/5mF1UC4Yr63rcHfwNkbb3nW7T213DQAx5Vb/vS1091T4WGRQHXFI+Xy8/Oi
KB7wWE/42dJGco8e6/I5j7HpoJDWz1nV9T/7mAmlFO4RFz72yIzvnZrwCuFCdd4dt5Hma2MV7X1Z
OOINfqRbrRtLBo8W6cF1Cb6Q5tyidxMyFhO+7jG16SC3oaRGtme96TntphWZHeczsAjiXAN2N6WJ
p4xRKm99heM9jY12G9NWxZCIu++D7cvwMNUJkJ+iyt9lG7LvVo1pEcAx3Ok2lSVTJOIf9U8LoNzz
8iA82bOcf8Yk1OuNr83888yI4H4qxjsJin6gG6Mr1Fq6QvNzGs2wyemo/mrbUWzse2cs3U2Q5+EN
ZYP9aWKNeAjHJPpRxNlYrTyKAr5klN13iBpmdbC9DDUytUP7J3Z7+ivokmgQPDLLe0KeAGPR99yH
8RdGD6qIyjcPQfqHNfQl10zaJ+7MxBusdR1Q5ITAPV5cK+rEmlQ7TR41BGnQ9/RUJOG4tXwTiLTH
M6AodoZQapkMykNHnWbTbTBC5sqDsSH6+ZBPvttsyynu72DD5Ji8M16S2nMJ1vud1T5EVt7sE+wx
1WpI+vaRCESy9Ty7OWJ49M62l4cPUe44X0PqOOCrz+GroYne1MXInLHnbkg2Jr0PlJcVBFyzBS0/
W3Rs2lyYs1HhqkMLsI5CTHSpZX53zRtm4ytB6eFt5o7BDWqcabE+GD2/iNyh+8BrI32wGEY/EvzM
n+IhgiKQcmceADqdhR+b93aZ6lPiBB5S/VCckqwvorVBGmubZWNwW5TTdBiq0SWdqwzFS0ZoCuwh
1K9t13Yec6OkSSiX9vA08CpYnz3wyvdRk0aQ1gfvNAVh8Ta2TfBGlpDcfGDyb9a2rd5F18ndWCXW
0yASfzs7pdwyIvAvkVL19yiM9FtQp0sFhe12eEQNGs1W86DVwZsIqeIyXcZiovxJGEIBuuS0ceg5
pSN32Oj3ltu6R2JP1SXVVNBV8Eo5zdqkBqV28fEh0x/jeMjuMd0aJJtNv6gXThT7rV8HzU0Qs7xg
rXUXFoEe9Jth5wy048IKycFMjG8Ht+hvRdbHqCS+kzFFL2R5DRMn3ZV9Mt0rXLvs7KpV9yXFOxA9
Kli5okiZ6WYtW1059A2b1+BlN207RjsJ8/gUuy12YMdOrXdZ6LBdITlocx3adnIO3EkHO8sazM+e
zJNn9mwGfNjLGRnIgKqo0jXcc577zGYQZj8HMQdywax5yQel+C8zqzfOeRLO5jEZ2vKJ9JrNABnT
63luDNM5x+Vkf6lqk4j56CpqLDwYIi6dcKcBz8UZ9rv1MJq+dXKCOAPMQz+K8KN8NVezvpvLll8I
jdekLWTXfXGDpvoZ+8P8xdTK2+f4uI/t7OebdPbLhyBsnItUxMBWk9d6i9chxhymbY5DbuSQH0lV
7V0TolI3edhkX6pAeFcObI2zD5uyp2uvDeAFT73/NaD8j2mZ92JyId1PHr1WluHwOEfOvAlU7TwZ
jEaOMVWGeBK48DnM8lv5mao24A91HiT72KU8u4xM/WyxdNb4rlVNGlGQVOtmcDKkGiH+jGAZvaTq
j8SH/K3VNd4+XPhiDN2bFYoSduVED68UjjFTTzLHW+e2zL760zJnjXvbpzmKBKY99bG1aYQ5/Ajd
lpwYjBuSI97WrBMsrna7eKj8A7aMbNV3mXsWnf/kTKHa62B4hEpWf1Hoc/vBUQiPcvBZsdIBXPVo
tMzvqzzKHxMeky/NaI4rOFLzIdHUTm2FLRIKTUHlnnqMjsRs+rqLtiXdwC+Ar6dvwEgowZlY1Tu8
A5hP2X4oSIXuVOP1BZ3C/DTKZYuhPJrJnvVuy7Jd0ztOPJJfYjBQn2uxfe7DlAwu7d7ZXUosB0Ic
tS4YOQ3jzquSJ5pO5V1Ep+NTYqa4MOH72sfe0f1GpBVci9qsjB+1W5hAmVP7kOYTW28VqV1kxs46
Twb7STvHcBHxZiptawZh1xbsz6UwtbPVhUJ4DkyQAWVcHAthlmvsJ9Fd63f1xvDEjcTifMMoIARh
Zer7sKmSSzbnYpcZiQGCV7DHrnSIqXctGy03Q1hBXymC9EaMo7pEDS0SW6ON3eJQAOq7qpnDInAL
13t2B6LE+M2rGNTmVBrEGjkgPveR8vyNPTrRc8Naxw42uQ+11Fa6WebdJMqbMqcCx/AD7JlWwNOp
8DXrCdZFJDuDsVwEJodFbMTWq4bmpfUEsWJU9wugghBjUjl4z61XufcsdsCBisaMv/ICmzt70iVH
aMNG/gjy8lHOY3StM1exonbEpYK59k8WP/jPwBvwbMU6kkjSnDePpS6iZJXP9FusHdm1JLoK5HW7
tdv4UOS1XbJqTpCpe4rZzVWEBE+NsVnwKXVRhKbTt1B2MGG71lrNDtBAw2kfSzyt+LM5s2/qoixu
Z4q2vuLJn+pNM0zltffluiHU0q1beATTanIG89Zvvfxrm43c0GKHic5tC5SXsqemyd2NGzu0kRA+
pAlKDCPTHROghX0Ya4HqVPEoH8LBCr6EpKpg68gQKSiTPKrrome2cWLMSpKkLie4+94svrSt4UT7
zjP9czBpbGGpFSWfK9puJibOiiJeJ62cny2qd7Wvm0JNu9DsGPeb0seEmkc8HLedvfQM5TlR9JUf
i5lNjzwse9X0wDtDsp5UI4azmFoCxep/7uLhoPqiPI8oRl9YltwHr2I7SNIwOJfD1D3CZ28zTlPz
Fz1HYHiDOBlJwjBLWavYpMSIJYkA/IdA9I8EEIrc+O+jw+JfQsaHifL3//W36scfxY//zyCEi5IM
EO/vleT1oo4k0ZuK/ySRfBhhl6/8VUb2Pi3AyoDx5V8UEul9IrVlmabHK/AniYS2X5yLJjoIw88l
9oXA/CuJkD/C+7oUXWDgFp6J5vEPDK1imZ/+USHhkQT+KZEBl0mrY/1FRe5jTxZmscxNtGo+F00l
XxopoqsPKwe/TqDGr51hfgszoX5wpyhfdd9CRxjiuN86rQajO1RqK10jeFE0AJ2Goo42wk/yd7pl
+i//fRj/V9P+X1U3Pry/fxo/d2Ca3v5WseNrf1XsBHXRaGIogAz3TUb8vyl2Un5ywan/e4+LLT45
zDSsJX8o7MBbpvC/gTH9T/wBIb5fPAKLK/sfPI6eXJ63Pz6PAs0QJCbRA2b9AaStPyt2cYgFlEG+
tccbSPm0zD0NoY1w3j4IpfvWTqF1L8A3r2gKNtdRNpfj2swmj23JabuddqW+gHlMyIKhUEGOaxBc
PvfUU5fDMK+lzNxN7DGjkF09fIuTvuOSltiLxzgyknVA4Wq6In4BcGUq/Gzty4SMYi5IgXfNfGtx
gMQk53SHtOTGivzkxytwKePWzDR+6Vr9iNRAv6FcgFpoFcEmD4R/Y3Yc+iNU6+1kpQmty32zKyxk
SKcrkm3bpf6ZjgfSNjEyZQOEbA+hI3hPSUcXKxfj7E60obOvpt5kB0+S26z2mj2fjNwU9phJpBk9
nwgfWxszaNudNcsS6COGrmQVW0TSAVbDBYtyCvB8VDs6AqdMg28bSPO4vX+v8zTaeE1d3VHVW38z
i7y5cTISdrP32gXmda6SpdM0PzBeuQyDPM/udB8bfbp2nf5OglUw+OQ2I+eEna1Q6emEOEIfGMks
UTq2SGJFjfFghF8eZ6H31LkSJwdIy9Dc0HJ/D5n8rLLRB15SOJuwdGnU9hfIS1xM7NddoADAlb1V
cRszJuAZKnwN0tE9cqOo7+ZW9NV6tgyPDhT6TlQ6tQShDfM6xjFZRbOz4TT5XUYlSiCyo1eM8jC0
pKVZpYbPA4MRQTWLm1E7NcN1sA1xYek0jpWFwa21u5Boq0vZB09au+pLLb9oLN1nCpY1ecHYXqMl
uNM2hI/2nrCWbk2eykMQVzQeVm5c7k20pNfBtbxbCdlhlZOF+6bq6mtH6e/XIKDbUhZl9lBkznBH
KMp75jaRr2hSMy9l0shLmgPCbIQXb1Q7XjBmRJfBHMud4sp7CEyd7YnqWffSWPrCRvQdDoUcaIFw
Qc8SYX/jl3F2zUeaalZ5BmcRGqe4TLOqEEZFKp87acV4pQONVa9JpkdkmvFY6FbcWTScONvIrYc3
Gw2boldKo7FUpOBj5u5VF6G+hBwSD4E07afW9Ol+9XWlb+kmVK+5FxIVyNKZ8uFhNFzu15SJj2jF
haE2Dv2nK0zpxjazNUngUPv1wQDJv4eMxF9Tup6+GzAwPzvg3aGwGHwUTTYSGGojNvBVOdjVeY6w
zNhEH08yJetjgLq5ZbngIEw/SXKTcjkB6uHkd7qbu8tAmORuFIM/riygKI+UcYqTkyFqrJxGVN/J
XEe3ZjeBTrVEaoGraWD3jRLFyBbSOBPgavq1FroS/KVlemsRP7ty08ruWlr/tkgP5bbLBVRC3xkP
UmrZ7DtD1/d+rcNbH4vgJS58Kj9qkJ4r+o3snQ+cRTELyJOLlYbAoarJu4i4Hc8mie+9aVvdhbp4
fY2xXry6nCA57yFE22sLrTN0yPO6tR0+CVVYlKXMFeXieIDwi6hHFxvzJnGGcpPkItnLRPBuTbrI
qInI9b3fi/GeYZ/ueOFUh3xGqQRL6pbA7MFoTEWcdogvGWf8A3mN4dRJo7lDfCruEle6z43hacCg
ZvVD28vNcB4rDEmzbzxiPLRuh9Zyn0XYGFh9a52eSQhTG9TJFOMw8LSmtO2fJdw2nK26fnYrU2yM
elTPSdwnPBRZ39Hrnc9bGwPlLnUCKLmYjXdmG2tc4FHLZUGlw8porejRkUW4i2O/g+Ht6+lYZaV9
iYpkpiTRc/d+0NHizN1qE9FVh8jQBy8l9Rm7prX6BxznC3MSv1HdafmSaFHsi0jFu84iuGJ5bX+D
AXehVmJeIohUvFrg314Dvyjuem9I9oQ+Eup5M4un3eu2xYAGS2pSWkeVDc1WAOBw1m6exacMZMoJ
Wk+z0b2vjs4sirua/i14wsl3S43+2ivbUx1jNJHsatB0X2ubgi5QwPKBMqp1VIzT0Y9l9NSk+fCj
bE2Ipcoe951a4K6ytxqx9aaZnLqZxzBvlaP1zphsLyLBYNeXWhrdenaIQ6qeBEzuY2oKTQtqaroY
aaFAOPaLAnHGhMm4imo4FBHhBplE19FgNsFSvRWA1NdFWjSHoC7UtlPYAcSYl/VWKSR4At6unZ8y
m5sjCJGuwIPUl3Dc4h4mc5fmR0w7y88ionKrRvLxeNJfORSzMveVbNa+RlbHCObqR9XOE8MEa95a
jXZ3ZVCgZhvKLbYME4IDacaJElFqMgAwBytNwHFGxciLvr0zW/azGgQng2Wr/kYYtziNNb8eIPLu
E4dfmye2dq4Y7GxM9sx6RFtOZ6GtfWfP8wGRemZebeUvYgzfMzatvAjf4lG2B13gkvBL4wC+atU5
0bpxq/AYcOuE/GzYDwxW+hN3RfMRDhrgQ2UwA4hlSSYLmB1NRG5sOhuvHAXZ7sSiXtI0fo6h8k6C
0Pgz70dzIXbUH+x5GZ9TCf9eUBR28K2abIxVz/+HufPajRtr0/WtNOZgHw0NcjFjYwaYyqVYKkmW
5BOilJjTYubV74dlu9tyu/3/02psWEfdtsxiMaz1hfd7XlITE61HkO2mAJ1scxiXfpt619yAlGvK
4NisjKVzcMRQE6+XwYXmA23kF3XaMj2KbXXMdxDw1DOmEdL7jkn0ZQs4TZ1j4QF2lBpFtRFWjTDL
tVT3lUKCPveY70QvFhvlTOqSuVPf6UIGPTLLWFtZGGwzI1P2TJ744TLoDeiEyKjUuVJlFjhHN8v3
xBdhdk6mrAQLJWW0fMYyMA+2aoV4b0EdIeouXaotJ+jykiucj8KXlBUHiJthdfOkx6Sr0q3wVk9T
Rg4Id5k01bSbym6TVS+yseb/mQxNvSBcUU9ltDcPETq6KkMRVLk2aorndWN3xb7quksFx+esoGzU
y2qLj2q+aJicnTlqH89qQov5hACYy6rrn7uw71+7QjxXoSk/2Ul7sAosgRnA9/NL7Hot4NwNqGU7
DOdZrndnti4TglW1PR0NIRe5x8CzXcGd7BK2p0pt9BO9dG7E2MGbFlSWqNM6CzoF1SKobA3VHHZU
ZmJmq4DC8Snd1O6y1jxl7eXMqtVxWq87U7MYScqscysavGccYPUV76i/zmgVcxua9CY0c+qpuuPv
KM/0QG3beqXA2gXImVjXvu3LM9oBWHlFYowWplEnWBC2rn9CG7ldVXbtb2Vvl49a1PZLdDveDjft
Zql2uT2XLFGYC0XmRZOH8VxJPGaZS8XHnk5vwnnn4LIYMDFiLrECh/URt0o+F2FnLwNPDVZRbXs+
0VWHpMTNjVObAhf0ih7Dj97Srr3aDXC7ghnVMCKxMQcjhqHbaR9rSRuxENR5YqvttmHi5Tu7SwZt
1lijwAVbVcJ7M5T1puziYq/Ce1/0IqRTFmLpB1rJ+MhGl/D+SYfsILTE0uic+CTUUmdjewBZG7+g
/ZfFzrlVmcltG2cpw8WZuqQDBvQ+Bn7E3LOxQrmpbrO20PCO9ly2moHJZKIBfRFik3pWqfWVqVYr
4lT1LKYRjPhJ3ilevkDAFVy0g/KQtVCEsFc3b/UMGYzlSHBfOUlLYVFvLYTanxRmUC+ll6Vy1hth
hy4mr+lvpvja8WDA50trbORwnbZuVGM0IQzVHt+gt2cAELyTbzLLH+iWxJ90Q9/nad8pKxQm7KNO
DYMNtAVGM3WItkrr2nBKnXAl8AlfMJ6u3Jau6G8cTXPvB/rQlyIY/VNaReUDfdBoaaAyBsFAl24d
NENx0+vuuFJNhfqjHYeLVLrKLmulCHhpQ5oFBncAnolBKKF4IrxHsgfAIkwyAKGiztZFC0zEyOJT
xwmVJ9/K/YWu9DnuAUm1oWX7kXIfA/51YS490Of3omlsWPlmPQchxoQP546ll2leYJ+GptPUpblI
mdbdysC2PxGp+7jpAdbUou6Qt+auqRGcE6HMYE5RmXPFsDDHYLiiIXkGy2k8Y6oLh/cY3teMeVXc
M2MKJxZqUUl1H8cC85k+AnwJ6o3Ycw8pQeGyxW7tjvZfAh4xdGKW2MBqzzzbpmlVEu2CZRDWVZ5X
7WWVjBEaVZaD8yGIxQtDQuFz4Y3tojAU5jDrQOzzMUZqpdCjGNHZqct8aK1To26UjYlmY1FFY16C
VqWvCjNH7V/aqr+vAlw0M1rPK0OmCSNlZbKCMwlpqzD1mS7HEL286bQLap+1PWtMMGVN3lZLlOrh
5Rhn7ND0wk888tddCIGDaTFQbHtedHfbu323FbnRbkeVCFtjWuuVuSFCwZRaK0CwzlTmDfECGgR6
Pfbc0ZQcjDFxdnsMuZNj+C2mSJxdmKA8KrpqasiIlUouj+l0B6FXnyJ5/RjUO1N8rx0jfRqyPesD
8X+nOPWZO+UE8ZQdJFOe0CStACzgK85lFXXaqqBrd5NOCYY85hoov7lBckpB9GM20kyJSTqlKOkx
W/GmxKWTtAUZ/BNzGLHuRLsucUmjFT9zjymPc0x/6M1lxaYu7X7u0Go+6aWJcNso4PXJmAeXuYBo
7puafSgyervYC2INmrX1zkAatx7wKgcNN+VbYzleF9KwFolS7BURhptC4YLpeKLu00YzaEsRKStD
1SuznFAYP1z4lNjkBjNDeoz8NFEDyN0hDKNQXbvgo1XtTpSmOW8oTu5c7NU/ltwD1C5TyhhPyWN8
zCNpDMfnQVxTKSDJNLIomnfHzNM6ZqHulJAWyKPX5ZSkNlO6ihCcGQEy2GJKZcMpqU2n9JaTnBJd
Ul45Jb/JlAZbU0LsTKmxqfjOQ2aUD30VxY/WlEA3Uyo9Tkl1NqXXsPjItMcp6Q6m9NudEvHhmJMn
U3qeTok6YwritJ6S935K4+mukdHLKbnPpjR/nBL+iEUa2Qt/25Yo+JtjZSCeigTNVC4wp8KBqBt3
8fMV1fhezquhMHANzbIovzFxegQPfAMWqFxXJ0kolfVQO8ZJFofbWngODFhAsEIQpwtXN3eqUTOH
zeSLmJs4H6zRxGgPlRNgRSKZHnwe2qY7SRNjOFUcjUFhqnn3BAb5R90pzpoQp8hGpeND8NShoKhB
cqRKEXNPI53mnT3EGwBIFalAHWn2wvIV+6RyGOxY1gNnpbuiJbLyxuwgwdeW7DkWhPZxWsjQKbCm
QcdifRuPa51xXPfos6P8mhbDn18wjYL6DyqFBNNiKnPZJiXyb0kMNNf9wegHZ02n73q81+/Lg3Jf
7ruL6gpCVHaJu/jPP9FAHvn9J2KF4tqagShCV+3vPrGjwJJi2+ytmT30HpMcHz7mdKLhgr7UKOZE
0pPjb4n2X4OY9KiZI3pC1LOvTLf0MKCH0FuhuRi4lzYR9XL0dPZwgWxLXY9A/O4qwIw3IDDY6jA+
BYMQGzY6K6Y+JBD2vDzTUwmhnwnVLZEM6xPllJllO/umHxl8JPyk2JBGq8TQytUwde0dnFw/WV2E
SwyD2tu2NJ01VjIK9qWdPGvqLL4K0hbBBoxlzFgIiK8D1xoZSggjUGmTFW3Uh/IjmLRp/UpF8v+5
pP8LqmuZP9BVQTIkkPureGj8HIpydnimav9tB+mHB/hSvGeGgGq7TnsX9SxdI57Bz3JbphVMHRd2
Vg6D/xAUzr/obXUbq3W8nlSdYtoXcMrXZtIEF7SR7xL9snyYhHn/i+q9c3T8+6N6rwjNsCc1+zFa
/GbxMpIaC5a4DjZJZ6fTGs/QN7sy899OkZbTmFk2ntpK5qwbXVYnKsXfE6bIEH20Fv7jXTFl65kz
mOkCl1oyX4WCZeU6w8ciSl2qgNitFHh6pHARQupa+xQfgys7Vo1+bkcp24FuU6EuKeH6SJWKVvOW
la7CF6qiUviPzFArxbYF8nlONUo/wQuzO7TekD0WQWzCKTCiYp2nGZbnoxkSpyVtBai0GyzrE6NQ
JBp67vbDekDvSQU5SdpyW+VYOc+Z4zEws2B6ujyJHCu8YmAO00vmJMob027Sa9rZ/cKKG0gd/SCt
BzHE6a7vtUGZ962I27mMmM9foRoJoKhSEHgoowGaiEt5g35EXNv7PgthCZss0U+RqfQnbpQaJxrA
jD2an2w5xcbXhNzNHSgSc8dMY7q3UzT7Sm24G1Qx43qqFC8hkdveWWtaU5kDRZvuI/URiPacVcsg
IWA40QRPLhLeYKMkFczkRFgtO0TcjaeFYumvndf21yD3RzwLU6YHPb8oHyANGJh4DwycBFXkyXlq
RP6tbSTMWjZNWu8CWLAXQxSBKESSOprIlod2HSfUlxnEaLtbdN3Kx5JpTmTJna3eUpCEN+daON0s
QyIJeBeBeIy0rlzL0Snnmqix3epVv9rBqyIBynF7sJdpQaccrU99xjg6hgOlLrONTYWp2hopxb1Z
rGX1p5SqOPYmaBNe/NTrb8w2x+yxMmpPAxWMN7eN18A5hDkggai0k2RRuwbUujKq3Evw80nJXhjR
dULvAlJkUJI8PO9Gu4cNMJS5scR9RNFXyEvtlwwpo7Gg/2B6c4a+inFplQJYmOKmUY40WRafCECD
e3Wi+1pp2GeXqdkDZeGtge5hdUnabczMxtKbC9s385CohuvXUiKYw1/IKOuaQ7A3taCUXH3Lv08r
3XsNo8IeTmQi8KXyrHoDBLrRnoqkRRWDLkxr13rqjTxSvVnn+BDoAW0f5vXPGhdc5cxDRrZFA1c9
NVbQLxVZNNlCDVP+vxKVcqYpISDutmGUyMjHMdqhXbCYle09ujHdkN6WtW88D+YYPvQAOwix6N0V
pNhpAoMnN1eRqsTGfHLD2haBjWwyiLDNxUuegYAFxdbEmat5jHKTCkSzGlwV9H8wDs6L20pLLOLK
hXFmJyadur62r9TGq7bQNiZX5rTpr5XErR5daVZ3URSoFxgdgHBoqpqZ+aCHbF1It72atCh3nTTN
GXAZOggjW2ab0Jdc9k40kSxbr12mwq2hLecY04siS7gWaY4kBsFVcTekVXyaabEZLK3IwlkuogrP
pLGP94vm6QCZeCq7STCZY1eAMmjWRra1RFfePsEQgQytRY3tzqF/IuiMk2FvQWBzVujhCw9jmaFf
T/ZGa61I1C1gU/T+gtv4IN14fK6VCsanqFUk3IC9zxu84s5d6o3UEHPD3ndpEV63rQKYO2ktbat2
mHkbMC0xfe9IHEkhqUF2mQJGscnup1HPZTt2waoCl3RTNyw5cz31xxVeaAkNIrfA76RWUROOhhN9
IlDPL6NEmsuqRLNHUtVvATOOzw2gQGc+BEGureM41200jgP3vomLABxR5xcPIJ7jByQGAhKhjuPb
3OxtOWMNr2+5O307UwFxXOp0niZ7kHI4Ucy+q2adU+lMPzhUFrxQaWJIjDrTpR4uuo9k6jQUjYaH
sFQbaOtMUEWftNwo7iHLdu6sLGVOM6cxmN8wqA4FoEWjOJvVNrks3Eq1+FhFoEP2wsnTmluis+gw
BlZSPyD7Og2igQI7w5/aiCVHrfRkwgOUWJF0urGV6lDpl0VZyHOkxh4i18wd4gWWgu6FLO3ksQ/8
4DVQZL4oKjW88dH5I7NOmD+YAV901lHpRcGcZq29xAqkKBiltsONATXRXyg57i9GW/YUiCDDnDRd
i2eZ2SYpcJK8zi9gasKcB7mJyNvx+l1XlPq4UOChrts0ULdazQAuIOjEmGMKZvarUtejM11qVFFE
XuvM8+nBusXIgyjSx1ijonUoGXQ4G6KiWDZpmoGhLw1IZ6WVRo92GWdLNdFPuz7sgNQmcHdmpPPl
VZHb1Z2e0CEkSVExpR5qc1JvM6IwyykWQQ2z8xNeGzO/S+lMRXStq41tEZJSybBmA0MTNCLc09qa
5vnwmwFLnrnJSaB3JKc0bsqYOWjPVGcsOxnrkKmspYasvb8SWk6LT23H54TdgI06rG+SLHFOMQCY
KiueM2cAu95nXtO+Gmw+a3iBlF5d62CDulmMQMg2IwpUkruqutV7U984sWnz6iaosGpHw20sdDH8
oGXt7hoNRQBeIg28Mir0J5pHvR1xckOTQYMkqjPrIRcE0f3ZqJe07vxcBXfj0YE1WcgnC76ymGm9
nw9zzCoU1K+W5sXzgOrPuooGN8Igp4y3Y8jsvYiM5KTnUTtznBq5rhsap03QOPjTFk117/KcLSoz
c54s1BEZqYNRXhpp4uypljGHU9cZfMrC82Y0qMSzywOz8LBruyojaGllMobGEiGjsVHNurhVM2bs
uobbn2PecY9QnyHwTsQjTTvLV2eaHdkXWexaT6CHGb+ULjQmS9bFNENpzse6rG9KUVVPva8VOws0
w3lGNx52QByBXjcre6kzw0TRWg1ROKMirIm5hP0pHfVomOdN0t9aRmjImYn88MULyoAJTkU/o0ph
A/RJeQtnXVFrbKAMdj+0xmAjQiqda8XQscQpVc9/sPH1KWd+2PafFCtQPsUNBHwkHhGjo25krQOn
sLETtPQTilHxK+crdyCmhkd3bEIIeMVQEZ6Fkip4K50aYl4HoC+qOhPFpg/3amYxoHnl+NJZ2fiX
fhxJ6Vd2maUHV1iEGkxadQwfVR5NVU/WmZyLUvfX3KruTPN9nMexXpZXIR3CkvDFAtVXjwkrlcj7
OsHHOJAhvWylyddNjdRhCzpF9ReO21vJKtEC7aIqCuNO2B0EeVFR9liFbdpqUOgdX5+FAoxr6Ntj
ihVOX9WLlj4KvN5RRXpJbxATJ2/o5ENXhzJaSGov+TwcE++cKjisL5O0fssT4o7zXIT1wQ9sNjUq
fto+bm2uf+Wg151BO2rQRafJR8MIyj2MviqeSfKhfTQY7qLVWuYJhGqfhpXpXGq0gF5CrAQT5nCr
TCzZdxkosAVGP7MYu/ZrmqJhsITezVvXySrIQKKOOAZpCinMDgxIC6WgNY2NnYg8X9B/KsA8gO+H
B8FW0Z6LEKnyjLvg+/Peze21hXh6nySiKBej2znjLHcT4zVKFddcZHAnbl1TGQ6ho6jPjpM0DdMX
Izs5o2Y1PkM9zZZZ2ZRY2iZRVCyTqg6QzCT+q0BXs69HKnSDW2jhihhzpADmhMvRzuVV49C9kRT4
zrQMT4TVQNQWLYwe4C0mNw7rVBM7UNkq7+B2pdirGSHGkqjXVeYydc1k2RcWvSfa88or5MWRGK2R
Wyphk7oYpsNK8bJ+KW2d18RgX8afrm+0ZRmp+UF3y0LsopaBNgw4oU8Uot/lalIM86zIO1wpCgmF
lqdKzL20DHZMEhhbPXawr1FT2gtI8rGooRRaYtmHKKOd2xzSv41Cg3OCK158LDrbqRal6yWvOZXT
PcbfACMSNaYK6ZXA2yNlXNgN2C0pe9qjuqyXGGoWzM6pRIA4DDGm5WP8tWxGGMNeEcbmzFT94hAk
ijyN+5E5oF6j+6rUmvs6GLY3rMES2/050+7KDVA2juIEzHn4VEhIycg5p35t453kPNNPQ+ISNI/4
nuzZuTGQ0XFhOcXGIqO5r8YFrb5cX6tKhQdZCZPZZg9Z+lKUS0swmgSxxR63RhREMwWP4aWbM+nU
DFVzzkkbJ4Yu1HvigHLpMr20iuEhK7w0Sc6AiTei+6J0iIcIvn19FDf73GgonqQ6FSO8MyibZaUa
XjHfmCy1Apeqmem45qmaCsIpM/aWwvIeiVPdtco7ucybmsK66/qfhEzrx0Glqz5TQs1b+IOIP/lV
bl/5o0bRjuwgOsHZIVmPSprO6QD1NxDld0NQaw/gZ4Ir2mG8l6KnVOpZZn/ilG23MYrEP0UrHnPd
rRBsNNYbAABCc53Hqrgr5YiEPw9za4rQmQkNVJWWhW0YQDVqPyKajUP10WSJ2YSEpbgB9VF1jgwB
c5QWUHQjW8DYQgmjmtG1MdliPEUQTQs2v8l9Il5COGtnYbJybYyMAthWpezyCiJyZ+XM6/mR1d6U
SgELmJVXbC3fcZZ23wY3vHoexktiZGnzGubTsAZjdWlaF9l6BtctG4rgRPcCawfUxsLJx3HgweuW
Gp+bit5sgjDQL0IxIjvzqF5fyqT06eGoKVh0tbG3XuoPjDM2UX09iCS8bZKm3VFmM594d7WdFkj3
payCaoV/jIftqxhAJCudQf28zonqtTjamqUVgVpWAZyrLbWMtGa9CptGQN9zUsw8siZYNFmaAs0p
EabjfrQVhVXQPjX6UyXhy8Y2B2E8IIMUVPs5NmF0Vu8kW13Ap9GcUVVtajZCiPEE7n910OANMDR0
R2cF5kqrMo4o8euiP89xKKGuSORioukPshst1YChGG20yw3xapMMsivDMqwWPSNVZ5RYbRgRhly2
cczoDgKy7qPFpsy9HMvcWWFnXD/HFGLn/0lynhRepicbfTCJaBLZ9wvVirBHHIfAvKSTnjXoISO1
+owx+KdV6uuXfLKPr76Xsv+SRUQk2ZYDU9nQTJjG2qTM/mvx7+LwLA9HqMnFAUH6b5tD+5KEv/1P
9vzbX/JO7CP84buP+FxmtPUP1NQFYirDxFuK3/m9zDihTzQIJrZ+hIJ9azqCaB19MOMpU9XToAD6
h0pYRXOM2YSr8XWmQ/6vTEc0fVIB/1Fn5MSP7BMeas0yhElf9m3tn3Spi3xrNJAL3jZDfu7eaCt/
RZuHKA9DameCeqzUaq/fgoUHFwlfvirDVZjeeXhch9TtnNZAN5x+IqLH0HMTpKg6lRXag3VLUOFV
mPQ5j0NP9Qbj7lkT3jXdJ0KhpUIND9+Ga71QiIoHYKRypSsnUNhlP082CFtbceE/gzmdZebZgGwn
685ziRm29UqxChspGL5MMGrW1oyQRGGocsHyuBg6ZZ4EwzqdQkGLUk/PLCHpDa+PXGGh4U+R8UWP
l5qLk0HWPTLwf1vV6lU6+VgR6jkzU8c8qmJ+38ie6uTSclpWmDauSZwQtLJ6JsTEoDI7W+w0vOz9
ZNzqulypg9hME3NwdZO5lZ7pPRgnwsvLqpHkB75cNLBhrEjdIWkEQBqxKeo5zWYjm2el8aCiVuY2
LVtc6nKX+V2vWxlVvBrwg5E4KESWxN2qOtfDeldb+gXFkafYtnZ9zrky44Q1nCYAPQ2M2IwrkYJH
hboGRcBg/NIi+7AoA2FZF+78tCDDR988hVoXZQVzoT//5rX5gbKBPO37Z4v3TmU9tjXAPzb19LfP
Frrxqg9zum79mN7KGq2KYVS7vjU3rKRLUwDsSmzrpI6zdVJc0g9cm5pxWqeYDYBGBPlaYdDhee52
cnuMFZUJQeyooxg3KE/f6W0OVMq81g2TxnVEEMVwZ5mdqo2xlkV2ynS+xnghGxfa3/HKTIKNY0O6
0tyLmltYDOGrIc29GT8oXGZm8OahTFc+VuM4Us2JWxGVTHi06sxx7QUg8YUvlQ2Ehp005arVjd2g
umeWgYxvmEJcJI5BfRPBuuSRhGp1YmifLCqQ0dicME50oebUnZTcL2e2TQnC5amMh2xVtJBi8JEp
0XPBvzZT5zGth02SqJhcgV0g4FHncTOejT3Wb453GApzlePyknJAqLNT6qcNyNzIYYQPN/xGSHku
PWNTad1N1n8aI7M/LcSAJDLT7IfS0xGKwHljmHMZFBqYLx6RzjJWmuVuqPQ+qz3n2KbDpT+gvCfS
Y/CcePC07OgKWOOnnz8mYur1vVmBpuwQbI/qTAM8DPe8fUrGXHVipJb4CuTxi4/dh8fl86T2qSTP
GluJ3kDuSy++GJv20q8khdH+IgwB+8ZVuaLtj57WjRZRVQAEdy8DkbJ21fvKcTMMoRmcDNrXwsz+
xdNNi+i78wZkRQ0T2DTWbEwYOd+ZYFYkaXRHsKspbYkfrtBRc3PCsAf6htl/mcCqSAIqMqyLBWo2
BcEho9DNQTCxTWGlDCgH2gpVfFkymVHYNs8slo/kieAIwSMLK7kAV37NwrrWk34XRs11QaY1IsCH
dvTsm5gyYGTh6U69yPE0maGU4YOtOqfy6rA0tuIV42/aEXWt0PEkg47GAjFn0e2Dtt0BUzgtLA8z
Uis7DwCerCzL/QSmV5vRQb+xtOSyZQQegUDxmilRsDT14qarlVc30HFPD61X1AnXlRXdQ+Vdy7ZC
4KK9FlSEAnCJbsYZ+OVWMic8OlRnA/MjaJQ1cmJ8luRjB0V5QCGbp92y0hCZdXO1DebkL3dZQY6M
IsoAL5Ca9Tn6s11FgDwrVAZYHRjSWhYzCdzcRbK+LRF1UKm5H+Py1g/7ywbV4qKdkhal3uhROS99
dWNif2UG3UZFVg39/slTi+sExm4j9AWJCr0jEyCfs/MzdZsX3a4zEE8mznWqCfKV1FrQ7V+6zJWE
vrnyA3XFrT9TNYhLbccuE95Rht5QG1zWdjE3qSXnZ7U3LqsBzA0Yk8QGMlDdR+P1hOiC0b0ImlO3
iLdR5t1JLuF6IMmhN6GtSLrXTjwugymnR1Lxikv2xL3eNShcSxk9lDgQzdwqyjZCJOp81BGPUvWv
76LUvsp9XRJ1lotM0oxxixZleQQP00DXLV5DJ2Xc170zqJp6Sv4MT2qFcTqDFbl3lvEaknDlu7qM
N2KkuZDDBOysfexHp4bApATd06xkOANlosa/rxdu3qzQ9yw8v8rYme4j0eEX0m/SJgBKRZsC+UN6
iz/pvV+ZZ73UPyYg7memdW+O5U2fNvWSp3pbevbrKPRTjyG6JX6/EA41/3To8d9psA9bQLNMlqYx
nqEemZVWfomUTK5tqR4MkNxL0cl9rg+HuAR1iMr9npoq/g+INeZ4mu6kUd+2o3PSYg4JfJLye7yN
UdIzUoWZktYjo45utMq6b0Rzqvb9Y4oVEh4JDB0k+kbpmOJX1R0mZQuE+x/Tups5EocFw91bjXLu
xw/ohoAXNHPXCy6qNrzC3WtJlP6RVujrGIrZwBXre5exUx01EF7tNTo4rdx7ymMbO6/uqH7q6eD5
ol9pjfuECHcRpjbsJNPce+5LStJou0tDuZDORaFdmPpl1uxBN+4kDO5GZ9RW37eDmDH7dJv2FVwZ
RtIR7gJfnbUMLIjoJQ4HlNfkP9W97d50FJPD3sAy9ZVe4UITD41/bftoMh2JS+YVUBa8kbp93gge
F+U8UveoJKbO0ZkK8cgejFnNHhXCdkTybxrpEm/2GeVA9odLrXtyzWKe2vp93VCbGXivY3HvuLu0
7+Z2cqX6oJZYK+9KT8RzbBIXfvjYMWqVNq99lAMTdR97XU9Wbls9YoWzCaW/YRb7ue0Y0KWxRmqX
u4sBJTHtlG5Bw5ehphwPXyqsM7STuFT56cdwUPxlLwbjWZGCjiRaYLoozqrLx1NTZjeBX9qLMdJu
3Fh5yIfhLo/How3Y6NU4KRX0jHV8xLaUGJMl9e9saVskXW2XPeXNuHZGe0PvaGo2Ms2PtJy4ioaZ
AURcqliPMkedIm6sGWhvNLm1Og9P2BphlWU/pm17wnTQCya4N25Gl6KMxCaKBn+RAxuZQfuIl549
KZUUbxG11N9pghUadfHROMsLmC4qVRFt7dfWiQFJSsvlOYBQVl/E96UJDrdeo10WCwPwyUoaAwK1
zlQW9PvDBc1SZV4Zbg11SBlm/xmMZLrAzbGtNt1dLCZDOKeBKJDey9GHHZojwvMrb68H2gnXJlzC
uplo5pDkchuTAjvDkkoFcY51hnV9jA7+gXT0HZnml09fHOrD8jg0etW8yGH/Au63rr6qNqa/3eVh
Vt/kf++Xfn6gLyS4zxROHpisns4AO/DsW/3KMaZ+k6seT+l4vj87QnKow7p5fsG/El0K2juib3TF
SZ75X/7cdieEJqWaL9nwN9fkr771z7/Q58v38995c8qH5xSQP7BdGT7V335pyvoqwda/87W/O8Yf
X5vZbseAGWpP6sBvv7b5gSqAYaPRgbnNDzkJH/QLfXsESRpJ+ru+vcCqySQ6pUCgHn/eXoSJNGij
kUQi+YteBINhfp7Xd10Ezf1gkENOQIDPF4Gyz7dPgvWBoN2FyfL5Gkzk9V/rSbB5DYTOrXvXZWAB
sOiUkYGTXU0/310G7YPJMOn00H2+Dp8v+y/0QtBu0MgJ33URNLzQEJwK4y8uAs8CYlDNRLt3/Pm8
/PxSF0EDv8n5vfdC2B8cFUQtk/Jv3wb3A7m3Y7jml9fhl1sXBVn2e7+9UD+YKEoBqX552KmrfrMk
OMYH9gwT07wvK8YvtyToVH4/3xloMP5L/nuQ8ueI4C+3RmFhWz1p7bXP68F3C4LDNYKoR8zwq74L
eHhb790hNdAdsHtVik5vHgHb+WBQshTUdn617eCzLaRBmeldS6FwPuAyznwmxJLjz3f7gf2BrQAx
vKn9r/eDf2O9/D28ngeAa46BdfhS/Sj+/qtf+Bph/vnvv0SXR+t3atFvfnGKsz9/9svvmJj/fvOK
HGPAb/7ya0x4/Jwv//zLF/zzR7/5rK/f6usfbsIXeZBPwXD8i+HLaU7ts//6D9pKAe2mnTw8v1TB
t1EwNBlWpz9O6L/+483pfvMU/PT4VXVIvx5mujKTsPzr///QAuD3h+tnh52FIK2/HmY6LPMqBCrv
PdvNQQ6H7PD1QMc7qZsOIcm7jxymhyc8fH54paG181a99yNODmna/PZ/Dmnxf387PTB3HL65QgQX
0/713k85PciMzDR+e5E+h0jvPjbPafLdgY1pLuK9Bz47xFVweO5eXoqvBzve22mG4usf/P2H8fzw
HAw/foemGY33f8Dlc8jpfz3O8S36HIy897rsmufmKXiRcnhzcEuf3A3ef/AsOjx+Pc7xrD8n1u89
8P4QHdBnHd5UKqYe9z/weF+HcRy+WbDoC0178XtP+uaQhslvF4fn5uuxpivyJZR478GPwLAfLS1f
4rX3Hv/upap/m71k/iF5c/afSwXvPfr5gcWcBauWb57xLzn4e4++biKO/qbA83ti++5j52/OeDou
Q59fL9HfX1HYlX+3trkIn/JHdCDbKoFRWH09+PT0kDFq2j/x1P8P8OC/3p7Q8VGp+ScWynDM5dtw
gEOrtnD/gR32BkJy8/YJ+nLwf+Dt/bEo59t7cfwshDRf/+zv3/xJ9jPd6q9Hmu40R0fFM5levPeR
/blx+++x6d+L9v6VT+E7D794SYLw6yX447JMKcl7L8tfSqs+X/mjldQ7z/5fMkbfffzgUNdh9SeK
6Rfk5D/wGvwbYMp3fol/aVXzzuPfvPBq+d/H+Nbvxa33Pkf/7gjwO7/Gj9ejvyMS/OmJ/Cjf/L1Z
8ecs9GsL5kf/7G2KPf3GU/JykP/9/wAAAP//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581025</xdr:colOff>
      <xdr:row>50</xdr:row>
      <xdr:rowOff>161925</xdr:rowOff>
    </xdr:from>
    <xdr:to>
      <xdr:col>4</xdr:col>
      <xdr:colOff>1009650</xdr:colOff>
      <xdr:row>58</xdr:row>
      <xdr:rowOff>57150</xdr:rowOff>
    </xdr:to>
    <mc:AlternateContent xmlns:mc="http://schemas.openxmlformats.org/markup-compatibility/2006">
      <mc:Choice xmlns:a14="http://schemas.microsoft.com/office/drawing/2010/main" Requires="a14">
        <xdr:graphicFrame macro="">
          <xdr:nvGraphicFramePr>
            <xdr:cNvPr id="14" name="Product Category">
              <a:extLst>
                <a:ext uri="{FF2B5EF4-FFF2-40B4-BE49-F238E27FC236}">
                  <a16:creationId xmlns:a16="http://schemas.microsoft.com/office/drawing/2014/main" id="{5158AA89-F7B3-772F-6080-AC083173473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819525" y="9686925"/>
              <a:ext cx="182880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139018</xdr:colOff>
      <xdr:row>5</xdr:row>
      <xdr:rowOff>164071</xdr:rowOff>
    </xdr:from>
    <xdr:to>
      <xdr:col>4</xdr:col>
      <xdr:colOff>20023</xdr:colOff>
      <xdr:row>7</xdr:row>
      <xdr:rowOff>106921</xdr:rowOff>
    </xdr:to>
    <xdr:sp macro="" textlink="CALCULATIONS!A8">
      <xdr:nvSpPr>
        <xdr:cNvPr id="2" name="TextBox 1">
          <a:extLst>
            <a:ext uri="{FF2B5EF4-FFF2-40B4-BE49-F238E27FC236}">
              <a16:creationId xmlns:a16="http://schemas.microsoft.com/office/drawing/2014/main" id="{455032DD-62BF-7B5C-0321-012ED9B01EF0}"/>
            </a:ext>
          </a:extLst>
        </xdr:cNvPr>
        <xdr:cNvSpPr txBox="1"/>
      </xdr:nvSpPr>
      <xdr:spPr>
        <a:xfrm>
          <a:off x="595145" y="1103156"/>
          <a:ext cx="1088399" cy="318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654231-F0F9-42E2-9994-5C235189D576}" type="TxLink">
            <a:rPr lang="en-US" sz="1800" b="0" i="0" u="none" strike="noStrike">
              <a:ln>
                <a:solidFill>
                  <a:schemeClr val="tx1"/>
                </a:solidFill>
              </a:ln>
              <a:solidFill>
                <a:schemeClr val="accent3">
                  <a:lumMod val="50000"/>
                </a:schemeClr>
              </a:solidFill>
              <a:latin typeface="Calibri"/>
              <a:ea typeface="Calibri"/>
              <a:cs typeface="Calibri"/>
            </a:rPr>
            <a:pPr algn="ctr"/>
            <a:t>₹20.29 Cr</a:t>
          </a:fld>
          <a:endParaRPr lang="en-IN" sz="1800">
            <a:ln>
              <a:solidFill>
                <a:schemeClr val="tx1"/>
              </a:solidFill>
            </a:ln>
            <a:solidFill>
              <a:schemeClr val="accent3">
                <a:lumMod val="50000"/>
              </a:schemeClr>
            </a:solidFill>
          </a:endParaRPr>
        </a:p>
      </xdr:txBody>
    </xdr:sp>
    <xdr:clientData/>
  </xdr:twoCellAnchor>
  <xdr:twoCellAnchor>
    <xdr:from>
      <xdr:col>2</xdr:col>
      <xdr:colOff>139018</xdr:colOff>
      <xdr:row>9</xdr:row>
      <xdr:rowOff>137643</xdr:rowOff>
    </xdr:from>
    <xdr:to>
      <xdr:col>4</xdr:col>
      <xdr:colOff>20023</xdr:colOff>
      <xdr:row>11</xdr:row>
      <xdr:rowOff>80493</xdr:rowOff>
    </xdr:to>
    <xdr:sp macro="" textlink="CALCULATIONS!B8">
      <xdr:nvSpPr>
        <xdr:cNvPr id="3" name="TextBox 2">
          <a:extLst>
            <a:ext uri="{FF2B5EF4-FFF2-40B4-BE49-F238E27FC236}">
              <a16:creationId xmlns:a16="http://schemas.microsoft.com/office/drawing/2014/main" id="{40BC97B8-7257-43EF-B9E3-06F429D033F2}"/>
            </a:ext>
          </a:extLst>
        </xdr:cNvPr>
        <xdr:cNvSpPr txBox="1"/>
      </xdr:nvSpPr>
      <xdr:spPr>
        <a:xfrm>
          <a:off x="595145" y="1827995"/>
          <a:ext cx="1088399" cy="318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02003F-8840-48EF-AD7D-9CEE2FEEEF59}" type="TxLink">
            <a:rPr lang="en-US" sz="1800" b="0" i="0" u="none" strike="noStrike">
              <a:ln>
                <a:solidFill>
                  <a:schemeClr val="tx1"/>
                </a:solidFill>
              </a:ln>
              <a:solidFill>
                <a:schemeClr val="accent3">
                  <a:lumMod val="50000"/>
                </a:schemeClr>
              </a:solidFill>
              <a:latin typeface="Calibri"/>
              <a:ea typeface="Calibri"/>
              <a:cs typeface="Calibri"/>
            </a:rPr>
            <a:pPr marL="0" indent="0" algn="ctr"/>
            <a:t>1,000</a:t>
          </a:fld>
          <a:endParaRPr lang="en-IN" sz="1800" b="0" i="0" u="none" strike="noStrike">
            <a:ln>
              <a:solidFill>
                <a:schemeClr val="tx1"/>
              </a:solidFill>
            </a:ln>
            <a:solidFill>
              <a:schemeClr val="accent3">
                <a:lumMod val="50000"/>
              </a:schemeClr>
            </a:solidFill>
            <a:latin typeface="Calibri"/>
            <a:ea typeface="Calibri"/>
            <a:cs typeface="Calibri"/>
          </a:endParaRPr>
        </a:p>
      </xdr:txBody>
    </xdr:sp>
    <xdr:clientData/>
  </xdr:twoCellAnchor>
  <xdr:twoCellAnchor>
    <xdr:from>
      <xdr:col>2</xdr:col>
      <xdr:colOff>81868</xdr:colOff>
      <xdr:row>13</xdr:row>
      <xdr:rowOff>75797</xdr:rowOff>
    </xdr:from>
    <xdr:to>
      <xdr:col>4</xdr:col>
      <xdr:colOff>77173</xdr:colOff>
      <xdr:row>14</xdr:row>
      <xdr:rowOff>168364</xdr:rowOff>
    </xdr:to>
    <xdr:sp macro="" textlink="CALCULATIONS!C8">
      <xdr:nvSpPr>
        <xdr:cNvPr id="4" name="TextBox 3">
          <a:extLst>
            <a:ext uri="{FF2B5EF4-FFF2-40B4-BE49-F238E27FC236}">
              <a16:creationId xmlns:a16="http://schemas.microsoft.com/office/drawing/2014/main" id="{DC75AAE7-9793-42C6-B8DC-0464BD160235}"/>
            </a:ext>
          </a:extLst>
        </xdr:cNvPr>
        <xdr:cNvSpPr txBox="1"/>
      </xdr:nvSpPr>
      <xdr:spPr>
        <a:xfrm>
          <a:off x="537995" y="2517417"/>
          <a:ext cx="1202699" cy="280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D97DA0-8117-401B-BB83-432A1FCDD530}" type="TxLink">
            <a:rPr lang="en-US" sz="1800" b="0" i="0" u="none" strike="noStrike">
              <a:ln>
                <a:solidFill>
                  <a:schemeClr val="tx1"/>
                </a:solidFill>
              </a:ln>
              <a:solidFill>
                <a:schemeClr val="accent3">
                  <a:lumMod val="50000"/>
                </a:schemeClr>
              </a:solidFill>
              <a:latin typeface="Calibri"/>
              <a:ea typeface="Calibri"/>
              <a:cs typeface="Calibri"/>
            </a:rPr>
            <a:pPr marL="0" indent="0" algn="ctr"/>
            <a:t>₹3.35 Cr</a:t>
          </a:fld>
          <a:endParaRPr lang="en-IN" sz="1800" b="0" i="0" u="none" strike="noStrike">
            <a:ln>
              <a:solidFill>
                <a:schemeClr val="tx1"/>
              </a:solidFill>
            </a:ln>
            <a:solidFill>
              <a:schemeClr val="accent3">
                <a:lumMod val="50000"/>
              </a:schemeClr>
            </a:solidFill>
            <a:latin typeface="Calibri"/>
            <a:ea typeface="Calibri"/>
            <a:cs typeface="Calibri"/>
          </a:endParaRPr>
        </a:p>
      </xdr:txBody>
    </xdr:sp>
    <xdr:clientData/>
  </xdr:twoCellAnchor>
  <xdr:twoCellAnchor>
    <xdr:from>
      <xdr:col>2</xdr:col>
      <xdr:colOff>110443</xdr:colOff>
      <xdr:row>17</xdr:row>
      <xdr:rowOff>89616</xdr:rowOff>
    </xdr:from>
    <xdr:to>
      <xdr:col>4</xdr:col>
      <xdr:colOff>48598</xdr:colOff>
      <xdr:row>18</xdr:row>
      <xdr:rowOff>165816</xdr:rowOff>
    </xdr:to>
    <xdr:sp macro="" textlink="CALCULATIONS!D8">
      <xdr:nvSpPr>
        <xdr:cNvPr id="5" name="TextBox 4">
          <a:extLst>
            <a:ext uri="{FF2B5EF4-FFF2-40B4-BE49-F238E27FC236}">
              <a16:creationId xmlns:a16="http://schemas.microsoft.com/office/drawing/2014/main" id="{0C2D304C-937B-4963-BCB6-5CA0DC421812}"/>
            </a:ext>
          </a:extLst>
        </xdr:cNvPr>
        <xdr:cNvSpPr txBox="1"/>
      </xdr:nvSpPr>
      <xdr:spPr>
        <a:xfrm>
          <a:off x="566570" y="3282503"/>
          <a:ext cx="1145549" cy="264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06F8F2-A859-4BA2-97D1-4E21817360E4}" type="TxLink">
            <a:rPr lang="en-US" sz="1800" b="0" i="0" u="none" strike="noStrike">
              <a:ln>
                <a:solidFill>
                  <a:schemeClr val="tx1"/>
                </a:solidFill>
              </a:ln>
              <a:solidFill>
                <a:schemeClr val="accent3">
                  <a:lumMod val="50000"/>
                </a:schemeClr>
              </a:solidFill>
              <a:latin typeface="Calibri"/>
              <a:ea typeface="Calibri"/>
              <a:cs typeface="Calibri"/>
            </a:rPr>
            <a:pPr marL="0" indent="0" algn="ctr"/>
            <a:t>10.06%</a:t>
          </a:fld>
          <a:endParaRPr lang="en-IN" sz="1800" b="0" i="0" u="none" strike="noStrike">
            <a:ln>
              <a:solidFill>
                <a:schemeClr val="tx1"/>
              </a:solidFill>
            </a:ln>
            <a:solidFill>
              <a:schemeClr val="accent3">
                <a:lumMod val="50000"/>
              </a:schemeClr>
            </a:solidFill>
            <a:latin typeface="Calibri"/>
            <a:ea typeface="Calibri"/>
            <a:cs typeface="Calibri"/>
          </a:endParaRPr>
        </a:p>
      </xdr:txBody>
    </xdr:sp>
    <xdr:clientData/>
  </xdr:twoCellAnchor>
  <xdr:twoCellAnchor>
    <xdr:from>
      <xdr:col>2</xdr:col>
      <xdr:colOff>86630</xdr:colOff>
      <xdr:row>21</xdr:row>
      <xdr:rowOff>143679</xdr:rowOff>
    </xdr:from>
    <xdr:to>
      <xdr:col>4</xdr:col>
      <xdr:colOff>72410</xdr:colOff>
      <xdr:row>23</xdr:row>
      <xdr:rowOff>41587</xdr:rowOff>
    </xdr:to>
    <xdr:sp macro="" textlink="CALCULATIONS!E8">
      <xdr:nvSpPr>
        <xdr:cNvPr id="6" name="TextBox 5">
          <a:extLst>
            <a:ext uri="{FF2B5EF4-FFF2-40B4-BE49-F238E27FC236}">
              <a16:creationId xmlns:a16="http://schemas.microsoft.com/office/drawing/2014/main" id="{9C02CEA0-DD76-4B4B-B9E9-B63508109960}"/>
            </a:ext>
          </a:extLst>
        </xdr:cNvPr>
        <xdr:cNvSpPr txBox="1"/>
      </xdr:nvSpPr>
      <xdr:spPr>
        <a:xfrm>
          <a:off x="542757" y="4087834"/>
          <a:ext cx="1193174" cy="273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908BC-D893-4D48-AA77-0BE69FE02872}" type="TxLink">
            <a:rPr lang="en-US" sz="1800" b="0" i="0" u="none" strike="noStrike">
              <a:ln>
                <a:solidFill>
                  <a:schemeClr val="tx1"/>
                </a:solidFill>
              </a:ln>
              <a:solidFill>
                <a:schemeClr val="accent3">
                  <a:lumMod val="50000"/>
                </a:schemeClr>
              </a:solidFill>
              <a:latin typeface="Calibri"/>
              <a:ea typeface="Calibri"/>
              <a:cs typeface="Calibri"/>
            </a:rPr>
            <a:pPr marL="0" indent="0" algn="ctr"/>
            <a:t>5,503</a:t>
          </a:fld>
          <a:endParaRPr lang="en-IN" sz="1800" b="0" i="0" u="none" strike="noStrike">
            <a:ln>
              <a:solidFill>
                <a:schemeClr val="tx1"/>
              </a:solidFill>
            </a:ln>
            <a:solidFill>
              <a:schemeClr val="accent3">
                <a:lumMod val="50000"/>
              </a:schemeClr>
            </a:solidFill>
            <a:latin typeface="Calibri"/>
            <a:ea typeface="Calibri"/>
            <a:cs typeface="Calibri"/>
          </a:endParaRPr>
        </a:p>
      </xdr:txBody>
    </xdr:sp>
    <xdr:clientData/>
  </xdr:twoCellAnchor>
  <xdr:twoCellAnchor>
    <xdr:from>
      <xdr:col>2</xdr:col>
      <xdr:colOff>72343</xdr:colOff>
      <xdr:row>26</xdr:row>
      <xdr:rowOff>10867</xdr:rowOff>
    </xdr:from>
    <xdr:to>
      <xdr:col>4</xdr:col>
      <xdr:colOff>86698</xdr:colOff>
      <xdr:row>27</xdr:row>
      <xdr:rowOff>87067</xdr:rowOff>
    </xdr:to>
    <xdr:sp macro="" textlink="CALCULATIONS!F8">
      <xdr:nvSpPr>
        <xdr:cNvPr id="7" name="TextBox 6">
          <a:extLst>
            <a:ext uri="{FF2B5EF4-FFF2-40B4-BE49-F238E27FC236}">
              <a16:creationId xmlns:a16="http://schemas.microsoft.com/office/drawing/2014/main" id="{5C9E8969-0B93-40CB-999E-B867584C285D}"/>
            </a:ext>
          </a:extLst>
        </xdr:cNvPr>
        <xdr:cNvSpPr txBox="1"/>
      </xdr:nvSpPr>
      <xdr:spPr>
        <a:xfrm>
          <a:off x="528470" y="4894106"/>
          <a:ext cx="1221749" cy="264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084B1A-2DFB-4A3A-8EBC-BD2B8F6A4AC4}" type="TxLink">
            <a:rPr lang="en-US" sz="1800" b="0" i="0" u="none" strike="noStrike">
              <a:ln>
                <a:solidFill>
                  <a:schemeClr val="tx1"/>
                </a:solidFill>
              </a:ln>
              <a:solidFill>
                <a:schemeClr val="accent3">
                  <a:lumMod val="50000"/>
                </a:schemeClr>
              </a:solidFill>
              <a:latin typeface="Calibri"/>
              <a:ea typeface="Calibri"/>
              <a:cs typeface="Calibri"/>
            </a:rPr>
            <a:pPr marL="0" indent="0" algn="ctr"/>
            <a:t>16.51%</a:t>
          </a:fld>
          <a:endParaRPr lang="en-IN" sz="1800" b="0" i="0" u="none" strike="noStrike">
            <a:ln>
              <a:solidFill>
                <a:schemeClr val="tx1"/>
              </a:solidFill>
            </a:ln>
            <a:solidFill>
              <a:schemeClr val="accent3">
                <a:lumMod val="50000"/>
              </a:schemeClr>
            </a:solidFill>
            <a:latin typeface="Calibri"/>
            <a:ea typeface="Calibri"/>
            <a:cs typeface="Calibri"/>
          </a:endParaRPr>
        </a:p>
      </xdr:txBody>
    </xdr:sp>
    <xdr:clientData/>
  </xdr:twoCellAnchor>
  <xdr:twoCellAnchor>
    <xdr:from>
      <xdr:col>4</xdr:col>
      <xdr:colOff>91360</xdr:colOff>
      <xdr:row>0</xdr:row>
      <xdr:rowOff>173999</xdr:rowOff>
    </xdr:from>
    <xdr:to>
      <xdr:col>10</xdr:col>
      <xdr:colOff>96190</xdr:colOff>
      <xdr:row>3</xdr:row>
      <xdr:rowOff>5232</xdr:rowOff>
    </xdr:to>
    <xdr:sp macro="" textlink="">
      <xdr:nvSpPr>
        <xdr:cNvPr id="8" name="TextBox 7">
          <a:extLst>
            <a:ext uri="{FF2B5EF4-FFF2-40B4-BE49-F238E27FC236}">
              <a16:creationId xmlns:a16="http://schemas.microsoft.com/office/drawing/2014/main" id="{D557DE46-7DA8-B1B4-7F73-85C190FD345E}"/>
            </a:ext>
          </a:extLst>
        </xdr:cNvPr>
        <xdr:cNvSpPr txBox="1"/>
      </xdr:nvSpPr>
      <xdr:spPr>
        <a:xfrm>
          <a:off x="1754881" y="173999"/>
          <a:ext cx="3627013" cy="394684"/>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A500"/>
              </a:solidFill>
              <a:latin typeface="Garamond" panose="02020404030301010803" pitchFamily="18" charset="0"/>
            </a:rPr>
            <a:t>RETAIL</a:t>
          </a:r>
          <a:r>
            <a:rPr lang="en-IN" sz="2000" baseline="0">
              <a:solidFill>
                <a:srgbClr val="60A500"/>
              </a:solidFill>
              <a:latin typeface="Garamond" panose="02020404030301010803" pitchFamily="18" charset="0"/>
            </a:rPr>
            <a:t> SALES DASHBOARD</a:t>
          </a:r>
        </a:p>
        <a:p>
          <a:endParaRPr lang="en-IN" sz="2000">
            <a:solidFill>
              <a:srgbClr val="60A500"/>
            </a:solidFill>
            <a:latin typeface="Garamond" panose="02020404030301010803" pitchFamily="18" charset="0"/>
          </a:endParaRPr>
        </a:p>
      </xdr:txBody>
    </xdr:sp>
    <xdr:clientData/>
  </xdr:twoCellAnchor>
  <xdr:twoCellAnchor>
    <xdr:from>
      <xdr:col>0</xdr:col>
      <xdr:colOff>212703</xdr:colOff>
      <xdr:row>23</xdr:row>
      <xdr:rowOff>153205</xdr:rowOff>
    </xdr:from>
    <xdr:to>
      <xdr:col>4</xdr:col>
      <xdr:colOff>402465</xdr:colOff>
      <xdr:row>25</xdr:row>
      <xdr:rowOff>80493</xdr:rowOff>
    </xdr:to>
    <xdr:sp macro="" textlink="">
      <xdr:nvSpPr>
        <xdr:cNvPr id="9" name="TextBox 8">
          <a:extLst>
            <a:ext uri="{FF2B5EF4-FFF2-40B4-BE49-F238E27FC236}">
              <a16:creationId xmlns:a16="http://schemas.microsoft.com/office/drawing/2014/main" id="{838E5423-B075-1BDA-85CC-FD24410B28BD}"/>
            </a:ext>
          </a:extLst>
        </xdr:cNvPr>
        <xdr:cNvSpPr txBox="1"/>
      </xdr:nvSpPr>
      <xdr:spPr>
        <a:xfrm>
          <a:off x="212703" y="4472994"/>
          <a:ext cx="1853283" cy="30292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A500"/>
              </a:solidFill>
              <a:latin typeface="+mn-lt"/>
              <a:ea typeface="+mn-ea"/>
              <a:cs typeface="+mn-cs"/>
            </a:rPr>
            <a:t>PROFIT</a:t>
          </a:r>
          <a:r>
            <a:rPr lang="en-IN" sz="1100" baseline="0"/>
            <a:t> </a:t>
          </a:r>
          <a:r>
            <a:rPr lang="en-IN" sz="1400" b="1">
              <a:solidFill>
                <a:srgbClr val="60A500"/>
              </a:solidFill>
              <a:latin typeface="+mn-lt"/>
              <a:ea typeface="+mn-ea"/>
              <a:cs typeface="+mn-cs"/>
            </a:rPr>
            <a:t>MARGIN</a:t>
          </a:r>
          <a:r>
            <a:rPr lang="en-IN" sz="1100" baseline="0"/>
            <a:t> </a:t>
          </a:r>
          <a:r>
            <a:rPr lang="en-US" sz="1100" baseline="0"/>
            <a:t>📈</a:t>
          </a:r>
          <a:endParaRPr lang="en-IN" sz="1100"/>
        </a:p>
      </xdr:txBody>
    </xdr:sp>
    <xdr:clientData/>
  </xdr:twoCellAnchor>
  <xdr:twoCellAnchor>
    <xdr:from>
      <xdr:col>0</xdr:col>
      <xdr:colOff>180404</xdr:colOff>
      <xdr:row>19</xdr:row>
      <xdr:rowOff>166218</xdr:rowOff>
    </xdr:from>
    <xdr:to>
      <xdr:col>4</xdr:col>
      <xdr:colOff>434763</xdr:colOff>
      <xdr:row>21</xdr:row>
      <xdr:rowOff>26831</xdr:rowOff>
    </xdr:to>
    <xdr:sp macro="" textlink="">
      <xdr:nvSpPr>
        <xdr:cNvPr id="10" name="TextBox 9">
          <a:extLst>
            <a:ext uri="{FF2B5EF4-FFF2-40B4-BE49-F238E27FC236}">
              <a16:creationId xmlns:a16="http://schemas.microsoft.com/office/drawing/2014/main" id="{3E864888-8E9A-41C7-BF4E-11709647C0B8}"/>
            </a:ext>
          </a:extLst>
        </xdr:cNvPr>
        <xdr:cNvSpPr txBox="1"/>
      </xdr:nvSpPr>
      <xdr:spPr>
        <a:xfrm>
          <a:off x="180404" y="3734739"/>
          <a:ext cx="1917880" cy="23624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A500"/>
              </a:solidFill>
              <a:latin typeface="+mn-lt"/>
              <a:ea typeface="+mn-ea"/>
              <a:cs typeface="+mn-cs"/>
            </a:rPr>
            <a:t>TOTAL</a:t>
          </a:r>
          <a:r>
            <a:rPr lang="en-IN" sz="1100" baseline="0"/>
            <a:t> </a:t>
          </a:r>
          <a:r>
            <a:rPr lang="en-IN" sz="1400" b="1">
              <a:solidFill>
                <a:srgbClr val="60A500"/>
              </a:solidFill>
              <a:latin typeface="+mn-lt"/>
              <a:ea typeface="+mn-ea"/>
              <a:cs typeface="+mn-cs"/>
            </a:rPr>
            <a:t>QUANTITY</a:t>
          </a:r>
          <a:r>
            <a:rPr lang="en-IN" sz="1100" baseline="0"/>
            <a:t> </a:t>
          </a:r>
          <a:r>
            <a:rPr lang="en-US" sz="1100" baseline="0"/>
            <a:t>📦</a:t>
          </a:r>
          <a:endParaRPr lang="en-IN" sz="1100"/>
        </a:p>
      </xdr:txBody>
    </xdr:sp>
    <xdr:clientData/>
  </xdr:twoCellAnchor>
  <xdr:twoCellAnchor>
    <xdr:from>
      <xdr:col>1</xdr:col>
      <xdr:colOff>179197</xdr:colOff>
      <xdr:row>15</xdr:row>
      <xdr:rowOff>133350</xdr:rowOff>
    </xdr:from>
    <xdr:to>
      <xdr:col>4</xdr:col>
      <xdr:colOff>167661</xdr:colOff>
      <xdr:row>16</xdr:row>
      <xdr:rowOff>174402</xdr:rowOff>
    </xdr:to>
    <xdr:sp macro="" textlink="">
      <xdr:nvSpPr>
        <xdr:cNvPr id="11" name="TextBox 10">
          <a:extLst>
            <a:ext uri="{FF2B5EF4-FFF2-40B4-BE49-F238E27FC236}">
              <a16:creationId xmlns:a16="http://schemas.microsoft.com/office/drawing/2014/main" id="{F76727FB-358B-41F5-A1BB-B1AD2AB0787A}"/>
            </a:ext>
          </a:extLst>
        </xdr:cNvPr>
        <xdr:cNvSpPr txBox="1"/>
      </xdr:nvSpPr>
      <xdr:spPr>
        <a:xfrm>
          <a:off x="447507" y="2950604"/>
          <a:ext cx="1383675" cy="22886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A500"/>
              </a:solidFill>
              <a:latin typeface="+mn-lt"/>
              <a:ea typeface="+mn-ea"/>
              <a:cs typeface="+mn-cs"/>
            </a:rPr>
            <a:t>DISCOUNT</a:t>
          </a:r>
          <a:r>
            <a:rPr lang="en-IN" sz="1100" baseline="0"/>
            <a:t> </a:t>
          </a:r>
          <a:r>
            <a:rPr lang="en-US" sz="1100" baseline="0"/>
            <a:t>🏷️</a:t>
          </a:r>
          <a:r>
            <a:rPr lang="en-IN" sz="1100" baseline="0"/>
            <a:t> </a:t>
          </a:r>
          <a:endParaRPr lang="en-IN" sz="1100"/>
        </a:p>
      </xdr:txBody>
    </xdr:sp>
    <xdr:clientData/>
  </xdr:twoCellAnchor>
  <xdr:twoCellAnchor>
    <xdr:from>
      <xdr:col>2</xdr:col>
      <xdr:colOff>200930</xdr:colOff>
      <xdr:row>11</xdr:row>
      <xdr:rowOff>168365</xdr:rowOff>
    </xdr:from>
    <xdr:to>
      <xdr:col>3</xdr:col>
      <xdr:colOff>561807</xdr:colOff>
      <xdr:row>13</xdr:row>
      <xdr:rowOff>37698</xdr:rowOff>
    </xdr:to>
    <xdr:sp macro="" textlink="">
      <xdr:nvSpPr>
        <xdr:cNvPr id="12" name="TextBox 11">
          <a:extLst>
            <a:ext uri="{FF2B5EF4-FFF2-40B4-BE49-F238E27FC236}">
              <a16:creationId xmlns:a16="http://schemas.microsoft.com/office/drawing/2014/main" id="{B5D2F631-EE30-4EDB-A059-A4C1E303D6E5}"/>
            </a:ext>
          </a:extLst>
        </xdr:cNvPr>
        <xdr:cNvSpPr txBox="1"/>
      </xdr:nvSpPr>
      <xdr:spPr>
        <a:xfrm>
          <a:off x="657057" y="2234351"/>
          <a:ext cx="964574" cy="24496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A500"/>
              </a:solidFill>
              <a:latin typeface="+mn-lt"/>
              <a:ea typeface="+mn-ea"/>
              <a:cs typeface="+mn-cs"/>
            </a:rPr>
            <a:t>PROFIT</a:t>
          </a:r>
          <a:r>
            <a:rPr lang="en-IN" sz="1100" baseline="0"/>
            <a:t> </a:t>
          </a:r>
          <a:r>
            <a:rPr lang="en-US" sz="1100" baseline="0"/>
            <a:t>💸</a:t>
          </a:r>
          <a:endParaRPr lang="en-IN" sz="1100"/>
        </a:p>
      </xdr:txBody>
    </xdr:sp>
    <xdr:clientData/>
  </xdr:twoCellAnchor>
  <xdr:twoCellAnchor>
    <xdr:from>
      <xdr:col>0</xdr:col>
      <xdr:colOff>260965</xdr:colOff>
      <xdr:row>8</xdr:row>
      <xdr:rowOff>35551</xdr:rowOff>
    </xdr:from>
    <xdr:to>
      <xdr:col>4</xdr:col>
      <xdr:colOff>354203</xdr:colOff>
      <xdr:row>9</xdr:row>
      <xdr:rowOff>67078</xdr:rowOff>
    </xdr:to>
    <xdr:sp macro="" textlink="">
      <xdr:nvSpPr>
        <xdr:cNvPr id="13" name="TextBox 12">
          <a:extLst>
            <a:ext uri="{FF2B5EF4-FFF2-40B4-BE49-F238E27FC236}">
              <a16:creationId xmlns:a16="http://schemas.microsoft.com/office/drawing/2014/main" id="{F0420E35-DEBB-49FB-816E-BDD6537CD0DC}"/>
            </a:ext>
          </a:extLst>
        </xdr:cNvPr>
        <xdr:cNvSpPr txBox="1"/>
      </xdr:nvSpPr>
      <xdr:spPr>
        <a:xfrm>
          <a:off x="260965" y="1538086"/>
          <a:ext cx="1756759" cy="21934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rgbClr val="60A500"/>
              </a:solidFill>
              <a:latin typeface="+mn-lt"/>
              <a:ea typeface="+mn-ea"/>
              <a:cs typeface="+mn-cs"/>
            </a:rPr>
            <a:t>TOTAL ORDERS </a:t>
          </a:r>
          <a:r>
            <a:rPr lang="en-US" sz="1400" b="1">
              <a:solidFill>
                <a:srgbClr val="60A500"/>
              </a:solidFill>
              <a:latin typeface="+mn-lt"/>
              <a:ea typeface="+mn-ea"/>
              <a:cs typeface="+mn-cs"/>
            </a:rPr>
            <a:t>📦</a:t>
          </a:r>
          <a:endParaRPr lang="en-IN" sz="1400" b="1">
            <a:solidFill>
              <a:srgbClr val="60A500"/>
            </a:solidFill>
            <a:latin typeface="+mn-lt"/>
            <a:ea typeface="+mn-ea"/>
            <a:cs typeface="+mn-cs"/>
          </a:endParaRPr>
        </a:p>
      </xdr:txBody>
    </xdr:sp>
    <xdr:clientData/>
  </xdr:twoCellAnchor>
  <xdr:twoCellAnchor>
    <xdr:from>
      <xdr:col>2</xdr:col>
      <xdr:colOff>53494</xdr:colOff>
      <xdr:row>4</xdr:row>
      <xdr:rowOff>120739</xdr:rowOff>
    </xdr:from>
    <xdr:to>
      <xdr:col>4</xdr:col>
      <xdr:colOff>105547</xdr:colOff>
      <xdr:row>5</xdr:row>
      <xdr:rowOff>107323</xdr:rowOff>
    </xdr:to>
    <xdr:sp macro="" textlink="">
      <xdr:nvSpPr>
        <xdr:cNvPr id="14" name="TextBox 13">
          <a:extLst>
            <a:ext uri="{FF2B5EF4-FFF2-40B4-BE49-F238E27FC236}">
              <a16:creationId xmlns:a16="http://schemas.microsoft.com/office/drawing/2014/main" id="{3ED4298C-61E7-4160-B99A-155397899F82}"/>
            </a:ext>
          </a:extLst>
        </xdr:cNvPr>
        <xdr:cNvSpPr txBox="1"/>
      </xdr:nvSpPr>
      <xdr:spPr>
        <a:xfrm>
          <a:off x="509621" y="872007"/>
          <a:ext cx="1259447" cy="17440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60A500"/>
              </a:solidFill>
            </a:rPr>
            <a:t>AMOUNT</a:t>
          </a:r>
          <a:r>
            <a:rPr lang="en-IN" sz="1100">
              <a:solidFill>
                <a:schemeClr val="tx1">
                  <a:lumMod val="65000"/>
                  <a:lumOff val="35000"/>
                </a:schemeClr>
              </a:solidFill>
            </a:rPr>
            <a:t> </a:t>
          </a:r>
          <a:r>
            <a:rPr lang="en-US" sz="1100">
              <a:solidFill>
                <a:schemeClr val="tx1">
                  <a:lumMod val="65000"/>
                  <a:lumOff val="35000"/>
                </a:schemeClr>
              </a:solidFill>
            </a:rPr>
            <a:t>💰</a:t>
          </a:r>
          <a:endParaRPr lang="en-IN" sz="1100">
            <a:solidFill>
              <a:schemeClr val="tx1">
                <a:lumMod val="65000"/>
                <a:lumOff val="35000"/>
              </a:schemeClr>
            </a:solidFill>
          </a:endParaRPr>
        </a:p>
      </xdr:txBody>
    </xdr:sp>
    <xdr:clientData/>
  </xdr:twoCellAnchor>
  <xdr:twoCellAnchor>
    <xdr:from>
      <xdr:col>6</xdr:col>
      <xdr:colOff>30988</xdr:colOff>
      <xdr:row>3</xdr:row>
      <xdr:rowOff>175342</xdr:rowOff>
    </xdr:from>
    <xdr:to>
      <xdr:col>12</xdr:col>
      <xdr:colOff>550035</xdr:colOff>
      <xdr:row>16</xdr:row>
      <xdr:rowOff>26831</xdr:rowOff>
    </xdr:to>
    <xdr:graphicFrame macro="">
      <xdr:nvGraphicFramePr>
        <xdr:cNvPr id="16" name="Chart 15">
          <a:extLst>
            <a:ext uri="{FF2B5EF4-FFF2-40B4-BE49-F238E27FC236}">
              <a16:creationId xmlns:a16="http://schemas.microsoft.com/office/drawing/2014/main" id="{737C84A3-E98C-4333-9779-6DB2D168D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1821</xdr:colOff>
      <xdr:row>17</xdr:row>
      <xdr:rowOff>40247</xdr:rowOff>
    </xdr:from>
    <xdr:to>
      <xdr:col>12</xdr:col>
      <xdr:colOff>523204</xdr:colOff>
      <xdr:row>31</xdr:row>
      <xdr:rowOff>107323</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2B47201C-13AC-4C4F-82FF-29ECB1AA7E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72736" y="3233134"/>
              <a:ext cx="4143567" cy="26965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576865</xdr:colOff>
      <xdr:row>26</xdr:row>
      <xdr:rowOff>93909</xdr:rowOff>
    </xdr:from>
    <xdr:to>
      <xdr:col>12</xdr:col>
      <xdr:colOff>469541</xdr:colOff>
      <xdr:row>31</xdr:row>
      <xdr:rowOff>93909</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B89A8884-2118-4F13-BC5C-41F69AB14B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62569" y="4977148"/>
              <a:ext cx="1100071" cy="9390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482959</xdr:colOff>
      <xdr:row>4</xdr:row>
      <xdr:rowOff>53662</xdr:rowOff>
    </xdr:from>
    <xdr:to>
      <xdr:col>27</xdr:col>
      <xdr:colOff>442712</xdr:colOff>
      <xdr:row>15</xdr:row>
      <xdr:rowOff>107324</xdr:rowOff>
    </xdr:to>
    <xdr:graphicFrame macro="">
      <xdr:nvGraphicFramePr>
        <xdr:cNvPr id="19" name="Chart 18">
          <a:extLst>
            <a:ext uri="{FF2B5EF4-FFF2-40B4-BE49-F238E27FC236}">
              <a16:creationId xmlns:a16="http://schemas.microsoft.com/office/drawing/2014/main" id="{3B1007A8-7A70-43B4-A2A9-882400210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201233</xdr:colOff>
      <xdr:row>3</xdr:row>
      <xdr:rowOff>174401</xdr:rowOff>
    </xdr:from>
    <xdr:to>
      <xdr:col>20</xdr:col>
      <xdr:colOff>241479</xdr:colOff>
      <xdr:row>15</xdr:row>
      <xdr:rowOff>80492</xdr:rowOff>
    </xdr:to>
    <xdr:graphicFrame macro="">
      <xdr:nvGraphicFramePr>
        <xdr:cNvPr id="20" name="Chart 19">
          <a:extLst>
            <a:ext uri="{FF2B5EF4-FFF2-40B4-BE49-F238E27FC236}">
              <a16:creationId xmlns:a16="http://schemas.microsoft.com/office/drawing/2014/main" id="{1CD7B726-D598-4FE5-9D56-D5EB920B5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174938</xdr:colOff>
      <xdr:row>17</xdr:row>
      <xdr:rowOff>53663</xdr:rowOff>
    </xdr:from>
    <xdr:to>
      <xdr:col>20</xdr:col>
      <xdr:colOff>187817</xdr:colOff>
      <xdr:row>31</xdr:row>
      <xdr:rowOff>49772</xdr:rowOff>
    </xdr:to>
    <xdr:graphicFrame macro="">
      <xdr:nvGraphicFramePr>
        <xdr:cNvPr id="21" name="Chart 20">
          <a:extLst>
            <a:ext uri="{FF2B5EF4-FFF2-40B4-BE49-F238E27FC236}">
              <a16:creationId xmlns:a16="http://schemas.microsoft.com/office/drawing/2014/main" id="{EFBCBB53-5C0C-4335-AE48-CF4715C1C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456126</xdr:colOff>
      <xdr:row>17</xdr:row>
      <xdr:rowOff>53662</xdr:rowOff>
    </xdr:from>
    <xdr:to>
      <xdr:col>27</xdr:col>
      <xdr:colOff>456127</xdr:colOff>
      <xdr:row>31</xdr:row>
      <xdr:rowOff>26831</xdr:rowOff>
    </xdr:to>
    <xdr:graphicFrame macro="">
      <xdr:nvGraphicFramePr>
        <xdr:cNvPr id="22" name="Chart 21">
          <a:extLst>
            <a:ext uri="{FF2B5EF4-FFF2-40B4-BE49-F238E27FC236}">
              <a16:creationId xmlns:a16="http://schemas.microsoft.com/office/drawing/2014/main" id="{BEAF585A-21AA-43E8-861F-5E83B2DCF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563451</xdr:colOff>
      <xdr:row>8</xdr:row>
      <xdr:rowOff>147571</xdr:rowOff>
    </xdr:from>
    <xdr:to>
      <xdr:col>30</xdr:col>
      <xdr:colOff>343034</xdr:colOff>
      <xdr:row>16</xdr:row>
      <xdr:rowOff>26160</xdr:rowOff>
    </xdr:to>
    <mc:AlternateContent xmlns:mc="http://schemas.openxmlformats.org/markup-compatibility/2006">
      <mc:Choice xmlns:a14="http://schemas.microsoft.com/office/drawing/2010/main" Requires="a14">
        <xdr:graphicFrame macro="">
          <xdr:nvGraphicFramePr>
            <xdr:cNvPr id="23" name="Payment Method">
              <a:extLst>
                <a:ext uri="{FF2B5EF4-FFF2-40B4-BE49-F238E27FC236}">
                  <a16:creationId xmlns:a16="http://schemas.microsoft.com/office/drawing/2014/main" id="{83AC9572-5C7E-40B0-9DC1-633F07C7DF4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6112007" y="1650106"/>
              <a:ext cx="1590675" cy="1381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590282</xdr:colOff>
      <xdr:row>0</xdr:row>
      <xdr:rowOff>107324</xdr:rowOff>
    </xdr:from>
    <xdr:to>
      <xdr:col>30</xdr:col>
      <xdr:colOff>326263</xdr:colOff>
      <xdr:row>7</xdr:row>
      <xdr:rowOff>131338</xdr:rowOff>
    </xdr:to>
    <mc:AlternateContent xmlns:mc="http://schemas.openxmlformats.org/markup-compatibility/2006">
      <mc:Choice xmlns:a14="http://schemas.microsoft.com/office/drawing/2010/main" Requires="a14">
        <xdr:graphicFrame macro="">
          <xdr:nvGraphicFramePr>
            <xdr:cNvPr id="24" name="Product Category 1">
              <a:extLst>
                <a:ext uri="{FF2B5EF4-FFF2-40B4-BE49-F238E27FC236}">
                  <a16:creationId xmlns:a16="http://schemas.microsoft.com/office/drawing/2014/main" id="{81A1696B-0AC4-4C36-B491-111C4E1883D1}"/>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6138838" y="107324"/>
              <a:ext cx="1547073" cy="1338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4420254631" backgroundQuery="1" createdVersion="8" refreshedVersion="8" minRefreshableVersion="3" recordCount="0" supportSubquery="1" supportAdvancedDrill="1" xr:uid="{773EE1B2-2680-4D5F-AAE4-C24695B55F44}">
  <cacheSource type="external" connectionId="1"/>
  <cacheFields count="5">
    <cacheField name="[Table1].[Product Name].[Product Name]" caption="Product Name" numFmtId="0" hierarchy="8" level="1">
      <sharedItems count="10">
        <s v="Bat"/>
        <s v="Desk"/>
        <s v="Headphones"/>
        <s v="Jacket"/>
        <s v="Laptop"/>
        <s v="Oil"/>
        <s v="Phone"/>
        <s v="Rice"/>
        <s v="Shirt"/>
        <s v="Sofa"/>
      </sharedItems>
    </cacheField>
    <cacheField name="[Table1].[Salesperson].[Salesperson]" caption="Salesperson" numFmtId="0" hierarchy="5" level="1">
      <sharedItems count="5">
        <s v="Anita"/>
        <s v="Rahul"/>
        <s v="Ravi"/>
        <s v="Sneha"/>
        <s v="Vikas"/>
      </sharedItems>
    </cacheField>
    <cacheField name="[Measures].[Average of Discount %]" caption="Average of Discount %" numFmtId="0" hierarchy="24" level="32767"/>
    <cacheField name="[Table1].[State].[State]" caption="State" numFmtId="0" hierarchy="3" level="1">
      <sharedItems count="10">
        <s v="Delhi"/>
        <s v="Gujarat"/>
        <s v="Karnataka"/>
        <s v="Maharashtra"/>
        <s v="Odisha"/>
        <s v="Punjab"/>
        <s v="Tamil Nadu"/>
        <s v="Telangana"/>
        <s v="Uttar Pradesh"/>
        <s v="West Bengal"/>
      </sharedItems>
    </cacheField>
    <cacheField name="[Table1].[Product Category].[Product Category]" caption="Product Category" numFmtId="0" hierarchy="7" level="1">
      <sharedItems containsSemiMixedTypes="0" containsNonDate="0" containsString="0"/>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4420717593" backgroundQuery="1" createdVersion="8" refreshedVersion="8" minRefreshableVersion="3" recordCount="0" supportSubquery="1" supportAdvancedDrill="1" xr:uid="{90C4384B-88F0-42BA-A48D-A2BBB7045D32}">
  <cacheSource type="external" connectionId="1"/>
  <cacheFields count="7">
    <cacheField name="[Measures].[Sum of Sales Amount]" caption="Sum of Sales Amount" numFmtId="0" hierarchy="19" level="32767"/>
    <cacheField name="[Measures].[Sum of Profit]" caption="Sum of Profit" numFmtId="0" hierarchy="20" level="32767"/>
    <cacheField name="[Measures].[Sum of Discount %]" caption="Sum of Discount %" numFmtId="0" hierarchy="21" level="32767"/>
    <cacheField name="[Measures].[Sum of Quantity]" caption="Sum of Quantity" numFmtId="0" hierarchy="22" level="32767"/>
    <cacheField name="[Measures].[Count of Order ID]" caption="Count of Order ID" numFmtId="0" hierarchy="23" level="32767"/>
    <cacheField name="[Measures].[Average of Discount %]" caption="Average of Discount %" numFmtId="0" hierarchy="24" level="32767"/>
    <cacheField name="[Table1].[Product Category].[Product Category]" caption="Product Category" numFmtId="0" hierarchy="7" level="1">
      <sharedItems containsSemiMixedTypes="0" containsNonDate="0" containsString="0"/>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6"/>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oneField="1" hidden="1">
      <fieldsUsage count="1">
        <fieldUsage x="4"/>
      </fieldsUsage>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oneField="1" hidden="1">
      <fieldsUsage count="1">
        <fieldUsage x="5"/>
      </fieldsUsage>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4421064816" backgroundQuery="1" createdVersion="8" refreshedVersion="8" minRefreshableVersion="3" recordCount="0" supportSubquery="1" supportAdvancedDrill="1" xr:uid="{340D8F8E-DF78-41F2-9F8A-1FB6C57534D0}">
  <cacheSource type="external" connectionId="1"/>
  <cacheFields count="5">
    <cacheField name="[Table1].[Product Name].[Product Name]" caption="Product Name" numFmtId="0" hierarchy="8" level="1">
      <sharedItems count="10">
        <s v="Bat"/>
        <s v="Desk"/>
        <s v="Headphones"/>
        <s v="Jacket"/>
        <s v="Laptop"/>
        <s v="Oil"/>
        <s v="Phone"/>
        <s v="Rice"/>
        <s v="Shirt"/>
        <s v="Sofa"/>
      </sharedItems>
    </cacheField>
    <cacheField name="[Table1].[State].[State]" caption="State" numFmtId="0" hierarchy="3" level="1">
      <sharedItems count="10">
        <s v="Delhi"/>
        <s v="Gujarat"/>
        <s v="Karnataka"/>
        <s v="Maharashtra"/>
        <s v="Odisha"/>
        <s v="Punjab"/>
        <s v="Tamil Nadu"/>
        <s v="Telangana"/>
        <s v="Uttar Pradesh"/>
        <s v="West Bengal"/>
      </sharedItems>
    </cacheField>
    <cacheField name="[Measures].[Sum of Profit]" caption="Sum of Profit" numFmtId="0" hierarchy="20" level="32767"/>
    <cacheField name="[Measures].[Sum of Quantity]" caption="Sum of Quantity" numFmtId="0" hierarchy="22" level="32767"/>
    <cacheField name="[Table1].[Product Category].[Product Category]" caption="Product Category" numFmtId="0" hierarchy="7" level="1">
      <sharedItems containsSemiMixedTypes="0" containsNonDate="0" containsString="0"/>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4421527778" backgroundQuery="1" createdVersion="8" refreshedVersion="8" minRefreshableVersion="3" recordCount="0" supportSubquery="1" supportAdvancedDrill="1" xr:uid="{7A215159-19FF-4602-8132-F4FAE47F3B24}">
  <cacheSource type="external" connectionId="1"/>
  <cacheFields count="6">
    <cacheField name="[Table1].[Product Name].[Product Name]" caption="Product Name" numFmtId="0" hierarchy="8" level="1">
      <sharedItems count="10">
        <s v="Bat"/>
        <s v="Desk"/>
        <s v="Headphones"/>
        <s v="Jacket"/>
        <s v="Laptop"/>
        <s v="Oil"/>
        <s v="Phone"/>
        <s v="Rice"/>
        <s v="Shirt"/>
        <s v="Sofa"/>
      </sharedItems>
    </cacheField>
    <cacheField name="[Table1].[Salesperson].[Salesperson]" caption="Salesperson" numFmtId="0" hierarchy="5" level="1">
      <sharedItems count="5">
        <s v="Anita"/>
        <s v="Rahul"/>
        <s v="Ravi"/>
        <s v="Sneha"/>
        <s v="Vikas"/>
      </sharedItems>
    </cacheField>
    <cacheField name="[Measures].[Sum of Sales Amount]" caption="Sum of Sales Amount" numFmtId="0" hierarchy="19" level="32767"/>
    <cacheField name="[Table1].[Order Date (Month)].[Order Date (Month)]" caption="Order Date (Month)" numFmtId="0" hierarchy="15" level="1">
      <sharedItems count="12">
        <s v="Jan"/>
        <s v="Feb"/>
        <s v="Mar"/>
        <s v="Apr"/>
        <s v="May"/>
        <s v="Jun"/>
        <s v="Jul"/>
        <s v="Aug"/>
        <s v="Sep"/>
        <s v="Oct"/>
        <s v="Nov"/>
        <s v="Dec"/>
      </sharedItems>
    </cacheField>
    <cacheField name="[Measures].[Sum of Quantity]" caption="Sum of Quantity" numFmtId="0" hierarchy="22" level="32767"/>
    <cacheField name="[Table1].[Product Category].[Product Category]" caption="Product Category" numFmtId="0" hierarchy="7" level="1">
      <sharedItems containsSemiMixedTypes="0" containsNonDate="0" containsString="0"/>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3"/>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442199074" backgroundQuery="1" createdVersion="8" refreshedVersion="8" minRefreshableVersion="3" recordCount="0" supportSubquery="1" supportAdvancedDrill="1" xr:uid="{D1FCF287-53DE-4FEB-888B-7A3F76D2BB36}">
  <cacheSource type="external" connectionId="1"/>
  <cacheFields count="5">
    <cacheField name="[Table1].[Product Name].[Product Name]" caption="Product Name" numFmtId="0" hierarchy="8" level="1">
      <sharedItems count="10">
        <s v="Bat"/>
        <s v="Desk"/>
        <s v="Headphones"/>
        <s v="Jacket"/>
        <s v="Laptop"/>
        <s v="Oil"/>
        <s v="Phone"/>
        <s v="Rice"/>
        <s v="Shirt"/>
        <s v="Sofa"/>
      </sharedItems>
    </cacheField>
    <cacheField name="[Table1].[Salesperson].[Salesperson]" caption="Salesperson" numFmtId="0" hierarchy="5" level="1">
      <sharedItems count="5">
        <s v="Anita"/>
        <s v="Rahul"/>
        <s v="Ravi"/>
        <s v="Sneha"/>
        <s v="Vikas"/>
      </sharedItems>
    </cacheField>
    <cacheField name="[Table1].[Customer Type].[Customer Type]" caption="Customer Type" numFmtId="0" hierarchy="6" level="1">
      <sharedItems count="2">
        <s v="Existing"/>
        <s v="New"/>
      </sharedItems>
    </cacheField>
    <cacheField name="[Measures].[Count of Payment Method]" caption="Count of Payment Method" numFmtId="0" hierarchy="25" level="32767"/>
    <cacheField name="[Table1].[Product Category].[Product Category]" caption="Product Category" numFmtId="0" hierarchy="7" level="1">
      <sharedItems containsSemiMixedTypes="0" containsNonDate="0" containsString="0"/>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4422685186" backgroundQuery="1" createdVersion="8" refreshedVersion="8" minRefreshableVersion="3" recordCount="0" supportSubquery="1" supportAdvancedDrill="1" xr:uid="{E2A18EB1-D2C0-4050-B564-C71559A327A5}">
  <cacheSource type="external" connectionId="1"/>
  <cacheFields count="4">
    <cacheField name="[Table1].[Product Name].[Product Name]" caption="Product Name" numFmtId="0" hierarchy="8" level="1">
      <sharedItems count="10">
        <s v="Bat"/>
        <s v="Desk"/>
        <s v="Headphones"/>
        <s v="Jacket"/>
        <s v="Laptop"/>
        <s v="Oil"/>
        <s v="Phone"/>
        <s v="Rice"/>
        <s v="Shirt"/>
        <s v="Sofa"/>
      </sharedItems>
    </cacheField>
    <cacheField name="[Table1].[Salesperson].[Salesperson]" caption="Salesperson" numFmtId="0" hierarchy="5" level="1">
      <sharedItems count="5">
        <s v="Anita"/>
        <s v="Rahul"/>
        <s v="Ravi"/>
        <s v="Sneha"/>
        <s v="Vikas"/>
      </sharedItems>
    </cacheField>
    <cacheField name="[Measures].[Sum of Sales Amount]" caption="Sum of Sales Amount" numFmtId="0" hierarchy="19" level="32767"/>
    <cacheField name="[Table1].[Product Category].[Product Category]" caption="Product Category" numFmtId="0" hierarchy="7" level="1">
      <sharedItems containsSemiMixedTypes="0" containsNonDate="0" containsString="0"/>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6889699074" backgroundQuery="1" createdVersion="8" refreshedVersion="8" minRefreshableVersion="3" recordCount="0" supportSubquery="1" supportAdvancedDrill="1" xr:uid="{357C877C-ADA6-4542-956D-190B745873A0}">
  <cacheSource type="external" connectionId="1"/>
  <cacheFields count="2">
    <cacheField name="[Measures].[Sum of Sales Amount]" caption="Sum of Sales Amount" numFmtId="0" hierarchy="19" level="32767"/>
    <cacheField name="[Table1].[Product Name].[Product Name]" caption="Product Name" numFmtId="0" hierarchy="8" level="1">
      <sharedItems count="10">
        <s v="Bat"/>
        <s v="Desk"/>
        <s v="Headphones"/>
        <s v="Jacket"/>
        <s v="Laptop"/>
        <s v="Oil"/>
        <s v="Phone"/>
        <s v="Rice"/>
        <s v="Shirt"/>
        <s v="Sofa"/>
      </sharedItems>
    </cacheField>
  </cacheFields>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8.590715046295" backgroundQuery="1" createdVersion="3" refreshedVersion="8" minRefreshableVersion="3" recordCount="0" supportSubquery="1" supportAdvancedDrill="1" xr:uid="{673E17ED-1376-40A2-8CC7-E3950B61C176}">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3"/>
        </ext>
      </extLst>
    </cacheHierarchy>
    <cacheHierarchy uniqueName="[Measures].[Sum of Discount %]" caption="Sum of Discount %" measure="1" displayFolder="" measureGroup="Table1"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0"/>
        </ext>
      </extLst>
    </cacheHierarchy>
    <cacheHierarchy uniqueName="[Measures].[Average of Discount %]" caption="Average of Discount %" measure="1" displayFolder="" measureGroup="Table1" count="0" hidden="1">
      <extLst>
        <ext xmlns:x15="http://schemas.microsoft.com/office/spreadsheetml/2010/11/main" uri="{B97F6D7D-B522-45F9-BDA1-12C45D357490}">
          <x15:cacheHierarchy aggregatedColumn="11"/>
        </ext>
      </extLst>
    </cacheHierarchy>
    <cacheHierarchy uniqueName="[Measures].[Count of Payment Method]" caption="Count of Payment Method"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007065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53D73-B584-416B-BFC3-FB4E2C70D59E}" name="PivotTable9" cacheId="46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0">
  <location ref="A75:B77"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2">
    <i>
      <x/>
    </i>
    <i>
      <x v="1"/>
    </i>
  </rowItems>
  <colItems count="1">
    <i/>
  </colItems>
  <dataFields count="1">
    <dataField name="Count of Payment Method" fld="3" subtotal="count" baseField="0" baseItem="0"/>
  </dataFields>
  <chartFormats count="3">
    <chartFormat chart="52" format="4" series="1">
      <pivotArea type="data" outline="0" fieldPosition="0">
        <references count="1">
          <reference field="4294967294" count="1" selected="0">
            <x v="0"/>
          </reference>
        </references>
      </pivotArea>
    </chartFormat>
    <chartFormat chart="52" format="5">
      <pivotArea type="data" outline="0" fieldPosition="0">
        <references count="2">
          <reference field="4294967294" count="1" selected="0">
            <x v="0"/>
          </reference>
          <reference field="2" count="1" selected="0">
            <x v="0"/>
          </reference>
        </references>
      </pivotArea>
    </chartFormat>
    <chartFormat chart="52" format="6">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filters count="2">
    <filter fld="0" type="count" id="1" iMeasureHier="19">
      <autoFilter ref="A1">
        <filterColumn colId="0">
          <top10 val="10" filterVal="10"/>
        </filterColumn>
      </autoFilter>
    </filter>
    <filter fld="1" type="count" id="2" iMeasureHier="19">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99B119-9AE9-4763-8B74-38DC8F02E825}" name="AVG DISCOUNT BY STATE" cacheId="45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8">
  <location ref="A62:B72"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0">
    <i>
      <x/>
    </i>
    <i>
      <x v="1"/>
    </i>
    <i>
      <x v="2"/>
    </i>
    <i>
      <x v="3"/>
    </i>
    <i>
      <x v="4"/>
    </i>
    <i>
      <x v="5"/>
    </i>
    <i>
      <x v="6"/>
    </i>
    <i>
      <x v="7"/>
    </i>
    <i>
      <x v="8"/>
    </i>
    <i>
      <x v="9"/>
    </i>
  </rowItems>
  <colItems count="1">
    <i/>
  </colItems>
  <dataFields count="1">
    <dataField name="Average of Discount %" fld="2" subtotal="average" baseField="0" baseItem="0"/>
  </dataFields>
  <chartFormats count="1">
    <chartFormat chart="4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filters count="2">
    <filter fld="0" type="count" id="1" iMeasureHier="19">
      <autoFilter ref="A1">
        <filterColumn colId="0">
          <top10 val="10" filterVal="10"/>
        </filterColumn>
      </autoFilter>
    </filter>
    <filter fld="1" type="count" id="2" iMeasureHier="1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341BC-8757-46EE-B32D-F56AF842B047}" name="PivotTable7" cacheId="46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7">
  <location ref="A47:C59"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Sales Amount" fld="2" baseField="0" baseItem="0" numFmtId="173"/>
    <dataField name="Sum of Quantity" fld="4" baseField="0" baseItem="0"/>
  </dataFields>
  <chartFormats count="4">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filters count="2">
    <filter fld="0" type="count" id="1" iMeasureHier="19">
      <autoFilter ref="A1">
        <filterColumn colId="0">
          <top10 val="10" filterVal="10"/>
        </filterColumn>
      </autoFilter>
    </filter>
    <filter fld="1" type="count" id="2" iMeasureHier="19">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58E458-D1E3-46E8-9751-AA93F37BC3CA}" name="TOP 5 SALES PERSON" cacheId="47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A39:B4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4"/>
    </i>
    <i>
      <x v="3"/>
    </i>
    <i>
      <x/>
    </i>
    <i>
      <x v="2"/>
    </i>
    <i>
      <x v="1"/>
    </i>
  </rowItems>
  <colItems count="1">
    <i/>
  </colItems>
  <dataFields count="1">
    <dataField name="Sum of Sales Amount" fld="2" baseField="0" baseItem="0"/>
  </dataFields>
  <chartFormats count="1">
    <chartFormat chart="2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filters count="2">
    <filter fld="0" type="count" id="1" iMeasureHier="19">
      <autoFilter ref="A1">
        <filterColumn colId="0">
          <top10 val="10" filterVal="10"/>
        </filterColumn>
      </autoFilter>
    </filter>
    <filter fld="1" type="count" id="2" iMeasureHier="1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3F244F-0E5B-4C8B-8D5F-D4C389A3EB0E}" name="MAP" cacheId="45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25:C35"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0">
    <i>
      <x v="9"/>
    </i>
    <i>
      <x v="1"/>
    </i>
    <i>
      <x v="4"/>
    </i>
    <i>
      <x v="3"/>
    </i>
    <i>
      <x v="7"/>
    </i>
    <i>
      <x v="2"/>
    </i>
    <i>
      <x v="8"/>
    </i>
    <i>
      <x v="5"/>
    </i>
    <i>
      <x v="6"/>
    </i>
    <i>
      <x/>
    </i>
  </rowItems>
  <colFields count="1">
    <field x="-2"/>
  </colFields>
  <colItems count="2">
    <i>
      <x/>
    </i>
    <i i="1">
      <x v="1"/>
    </i>
  </colItems>
  <dataFields count="2">
    <dataField name="Sum of Profit" fld="2" baseField="0" baseItem="0" numFmtId="172"/>
    <dataField name="Sum of Quantity" fld="3" baseField="0" baseItem="0"/>
  </dataField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232C4-0213-4725-A21F-14E202E5175B}" name="top 10 products" cacheId="47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12:B22"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0">
    <i>
      <x v="7"/>
    </i>
    <i>
      <x v="6"/>
    </i>
    <i>
      <x v="8"/>
    </i>
    <i>
      <x/>
    </i>
    <i>
      <x v="3"/>
    </i>
    <i>
      <x v="1"/>
    </i>
    <i>
      <x v="5"/>
    </i>
    <i>
      <x v="9"/>
    </i>
    <i>
      <x v="4"/>
    </i>
    <i>
      <x v="2"/>
    </i>
  </rowItems>
  <colItems count="1">
    <i/>
  </colItems>
  <dataFields count="1">
    <dataField name="Sum of Sales Amount" fld="0" baseField="0" baseItem="0" numFmtId="174"/>
  </dataFields>
  <chartFormats count="1">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filters count="1">
    <filter fld="1" type="count" id="1" iMeasureHier="19">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6CEC54-D1E2-4606-9473-225F0F0B7858}" name="kpis" cacheId="4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Sales Amount" fld="0" baseField="0" baseItem="0"/>
    <dataField name="Count of Order ID" fld="4" subtotal="count" baseField="0" baseItem="0"/>
    <dataField name="Sum of Profit" fld="1" baseField="0" baseItem="0"/>
    <dataField name="Average of Discount %" fld="5" subtotal="average" baseField="0" baseItem="3"/>
    <dataField name="Sum of Discount %" fld="2" baseField="0" baseItem="0"/>
    <dataField name="Sum of Quantity" fld="3" baseField="0" baseItem="0"/>
  </dataField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scount %"/>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taset_1000_Record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2B000E5-D672-4B7A-B9C1-2FA1971D860B}" sourceName="[Table1].[Payment Method]">
  <pivotTables>
    <pivotTable tabId="3" name="PivotTable9"/>
    <pivotTable tabId="3" name="AVG DISCOUNT BY STATE"/>
    <pivotTable tabId="3" name="kpis"/>
    <pivotTable tabId="3" name="MAP"/>
    <pivotTable tabId="3" name="PivotTable7"/>
    <pivotTable tabId="3" name="top 10 products"/>
  </pivotTables>
  <data>
    <olap pivotCacheId="1000706516">
      <levels count="2">
        <level uniqueName="[Table1].[Payment Method].[(All)]" sourceCaption="(All)" count="0"/>
        <level uniqueName="[Table1].[Payment Method].[Payment Method]" sourceCaption="Payment Method" count="4">
          <ranges>
            <range startItem="0">
              <i n="[Table1].[Payment Method].&amp;[Card]" c="Card"/>
              <i n="[Table1].[Payment Method].&amp;[Cash]" c="Cash"/>
              <i n="[Table1].[Payment Method].&amp;[Net Banking]" c="Net Banking"/>
              <i n="[Table1].[Payment Method].&amp;[UPI]" c="UPI"/>
            </range>
          </ranges>
        </level>
      </levels>
      <selections count="1">
        <selection n="[Table1].[Payment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6833B88-52CD-4068-9313-0A55FC2D0843}" sourceName="[Table1].[Product Category]">
  <pivotTables>
    <pivotTable tabId="3" name="AVG DISCOUNT BY STATE"/>
    <pivotTable tabId="3" name="kpis"/>
    <pivotTable tabId="3" name="MAP"/>
    <pivotTable tabId="3" name="PivotTable7"/>
    <pivotTable tabId="3" name="PivotTable9"/>
    <pivotTable tabId="3" name="top 10 products"/>
    <pivotTable tabId="3" name="TOP 5 SALES PERSON"/>
  </pivotTables>
  <data>
    <olap pivotCacheId="1000706516">
      <levels count="2">
        <level uniqueName="[Table1].[Product Category].[(All)]" sourceCaption="(All)" count="0"/>
        <level uniqueName="[Table1].[Product Category].[Product Category]" sourceCaption="Product Category" count="5">
          <ranges>
            <range startItem="0">
              <i n="[Table1].[Product Category].&amp;[Clothing]" c="Clothing"/>
              <i n="[Table1].[Product Category].&amp;[Electronics]" c="Electronics"/>
              <i n="[Table1].[Product Category].&amp;[Furniture]" c="Furniture"/>
              <i n="[Table1].[Product Category].&amp;[Grocery]" c="Grocery"/>
              <i n="[Table1].[Product Category].&amp;[Sports]" c="Sports"/>
            </range>
          </ranges>
        </level>
      </levels>
      <selections count="1">
        <selection n="[Table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1C2936F-0083-4673-BE98-FE9C1729F99C}" cache="Slicer_Product_Category" caption="Product Category" level="1"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F583D329-8BF2-4F8C-B5DC-764360BAC807}" cache="Slicer_Payment_Method" caption="Payment Method" level="1" style="SlicerStyleDark3" rowHeight="241300"/>
  <slicer name="Product Category 1" xr10:uid="{C2392141-B4B9-4A3B-A9E4-68908DD13E71}" cache="Slicer_Product_Category" caption="Product Category" level="1"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DAC6C4-FB63-49F3-95AB-EC4AFBDE737A}" name="Table1" displayName="Table1" ref="A1:O1001" totalsRowShown="0">
  <autoFilter ref="A1:O1001" xr:uid="{F7DAC6C4-FB63-49F3-95AB-EC4AFBDE737A}"/>
  <tableColumns count="15">
    <tableColumn id="1" xr3:uid="{0160B53D-264D-4F3F-ACFE-5890E988CDDB}" name="Order ID"/>
    <tableColumn id="2" xr3:uid="{2FF330B3-40DF-42D1-84D8-D757D5275B89}" name="Order Date" dataDxfId="0"/>
    <tableColumn id="3" xr3:uid="{DF0E8551-573F-475D-817D-1EF5DEAD05A3}" name="Region"/>
    <tableColumn id="4" xr3:uid="{7B3CE03F-82C3-4975-940A-EB327B0C8C8F}" name="State"/>
    <tableColumn id="5" xr3:uid="{A7BAC38C-B5FA-43D6-9308-ECAA9205B902}" name="City"/>
    <tableColumn id="6" xr3:uid="{C0F612CA-7E76-4B13-96DB-18FDC58F91E1}" name="Salesperson"/>
    <tableColumn id="7" xr3:uid="{3FEDD94E-D2F3-4973-84B7-213A6330D398}" name="Customer Type"/>
    <tableColumn id="8" xr3:uid="{06E9784D-C7FE-4796-B63C-14AC5A29B1B1}" name="Product Category"/>
    <tableColumn id="9" xr3:uid="{D8D818CA-0261-4A02-87BA-AEE9CD4C5820}" name="Product Name"/>
    <tableColumn id="10" xr3:uid="{01E44E13-D7D4-4160-A18B-565A0A715F8C}" name="Quantity"/>
    <tableColumn id="11" xr3:uid="{CE88FB3C-A6C2-437D-BD97-707CF639AF6F}" name="Unit Price"/>
    <tableColumn id="12" xr3:uid="{C8CCE485-6F2F-4EDB-959A-58A563129509}" name="Discount %"/>
    <tableColumn id="13" xr3:uid="{61081ABD-1368-4FA6-A946-8A94FA7780AB}" name="Sales Amount"/>
    <tableColumn id="14" xr3:uid="{760AB32A-9BC6-4C5B-BBBE-957DFF5835C2}" name="Profit"/>
    <tableColumn id="15" xr3:uid="{179FE3E6-FB14-49B1-B057-353FFA19503B}" name="Payment Met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37A2E-DA7D-4488-8E47-1545B9621C3F}">
  <dimension ref="A3:J77"/>
  <sheetViews>
    <sheetView topLeftCell="A6" workbookViewId="0">
      <selection activeCell="B13" sqref="B13"/>
    </sheetView>
  </sheetViews>
  <sheetFormatPr defaultRowHeight="15" x14ac:dyDescent="0.25"/>
  <cols>
    <col min="1" max="1" width="13.140625" bestFit="1" customWidth="1"/>
    <col min="2" max="2" width="20" bestFit="1" customWidth="1"/>
    <col min="3" max="3" width="15.42578125" bestFit="1" customWidth="1"/>
    <col min="4" max="4" width="21" bestFit="1" customWidth="1"/>
    <col min="5" max="5" width="17.5703125" bestFit="1" customWidth="1"/>
    <col min="6" max="6" width="15.42578125" bestFit="1" customWidth="1"/>
    <col min="7" max="8" width="12" bestFit="1" customWidth="1"/>
    <col min="9" max="9" width="11" bestFit="1" customWidth="1"/>
    <col min="10" max="11" width="12" bestFit="1" customWidth="1"/>
    <col min="12" max="13" width="11" bestFit="1" customWidth="1"/>
    <col min="14" max="24" width="10.42578125" bestFit="1" customWidth="1"/>
    <col min="25" max="25" width="11" bestFit="1" customWidth="1"/>
    <col min="26" max="29" width="10.42578125" bestFit="1" customWidth="1"/>
    <col min="30" max="30" width="11" bestFit="1" customWidth="1"/>
    <col min="31" max="60" width="10.42578125" bestFit="1" customWidth="1"/>
    <col min="61" max="61" width="11" bestFit="1" customWidth="1"/>
    <col min="62" max="76" width="10.42578125" bestFit="1" customWidth="1"/>
    <col min="77" max="77" width="11" bestFit="1" customWidth="1"/>
    <col min="78" max="78" width="10.42578125" bestFit="1" customWidth="1"/>
    <col min="79" max="79" width="11" bestFit="1" customWidth="1"/>
    <col min="80" max="101" width="10.42578125" bestFit="1" customWidth="1"/>
    <col min="102" max="102" width="11" bestFit="1" customWidth="1"/>
    <col min="103" max="127" width="10.42578125" bestFit="1" customWidth="1"/>
    <col min="128" max="128" width="11" bestFit="1" customWidth="1"/>
    <col min="129" max="131" width="10.42578125" bestFit="1" customWidth="1"/>
    <col min="132" max="132" width="11" bestFit="1" customWidth="1"/>
    <col min="133" max="179" width="10.42578125" bestFit="1" customWidth="1"/>
    <col min="180" max="180" width="11" bestFit="1" customWidth="1"/>
    <col min="181" max="187" width="10.42578125" bestFit="1" customWidth="1"/>
    <col min="188" max="188" width="11" bestFit="1" customWidth="1"/>
    <col min="189" max="242" width="10.42578125" bestFit="1" customWidth="1"/>
    <col min="243" max="243" width="11" bestFit="1" customWidth="1"/>
    <col min="244" max="273" width="10.42578125" bestFit="1" customWidth="1"/>
    <col min="274" max="274" width="11" bestFit="1" customWidth="1"/>
    <col min="275" max="294" width="10.42578125" bestFit="1" customWidth="1"/>
    <col min="295" max="295" width="11" bestFit="1" customWidth="1"/>
    <col min="296" max="298" width="10.42578125" bestFit="1" customWidth="1"/>
    <col min="299" max="299" width="11" bestFit="1" customWidth="1"/>
    <col min="300" max="303" width="10.42578125" bestFit="1" customWidth="1"/>
    <col min="304" max="304" width="11" bestFit="1" customWidth="1"/>
    <col min="305" max="311" width="10.42578125" bestFit="1" customWidth="1"/>
    <col min="312" max="312" width="11" bestFit="1" customWidth="1"/>
    <col min="313" max="320" width="10.42578125" bestFit="1" customWidth="1"/>
    <col min="321" max="321" width="11" bestFit="1" customWidth="1"/>
    <col min="322" max="338" width="10.42578125" bestFit="1" customWidth="1"/>
    <col min="339" max="339" width="11" bestFit="1" customWidth="1"/>
    <col min="340" max="349" width="10.42578125" bestFit="1" customWidth="1"/>
  </cols>
  <sheetData>
    <row r="3" spans="1:6" x14ac:dyDescent="0.25">
      <c r="A3" t="s">
        <v>1072</v>
      </c>
      <c r="B3" t="s">
        <v>1077</v>
      </c>
      <c r="C3" t="s">
        <v>1073</v>
      </c>
      <c r="D3" t="s">
        <v>1084</v>
      </c>
      <c r="E3" t="s">
        <v>1074</v>
      </c>
      <c r="F3" t="s">
        <v>1075</v>
      </c>
    </row>
    <row r="4" spans="1:6" x14ac:dyDescent="0.25">
      <c r="A4" s="2">
        <v>202854747.34999999</v>
      </c>
      <c r="B4" s="2">
        <v>1000</v>
      </c>
      <c r="C4" s="2">
        <v>33488969.390000001</v>
      </c>
      <c r="D4" s="2">
        <v>10.06</v>
      </c>
      <c r="E4" s="2">
        <v>10060</v>
      </c>
      <c r="F4" s="2">
        <v>5503</v>
      </c>
    </row>
    <row r="6" spans="1:6" x14ac:dyDescent="0.25">
      <c r="A6" t="s">
        <v>1078</v>
      </c>
    </row>
    <row r="7" spans="1:6" x14ac:dyDescent="0.25">
      <c r="A7" t="s">
        <v>1083</v>
      </c>
      <c r="B7" t="s">
        <v>1079</v>
      </c>
      <c r="C7" t="s">
        <v>1080</v>
      </c>
      <c r="D7" t="s">
        <v>1081</v>
      </c>
      <c r="E7" t="s">
        <v>1082</v>
      </c>
      <c r="F7" t="s">
        <v>1085</v>
      </c>
    </row>
    <row r="8" spans="1:6" x14ac:dyDescent="0.25">
      <c r="A8" t="str">
        <f>"₹"&amp;TEXT(A4/10000000,"0.00")&amp;" Cr"</f>
        <v>₹20.29 Cr</v>
      </c>
      <c r="B8" t="str">
        <f>TEXT(B4,"#,##0")</f>
        <v>1,000</v>
      </c>
      <c r="C8" t="str">
        <f>"₹"&amp;TEXT(C4/10000000,"0.00")&amp;" Cr"</f>
        <v>₹3.35 Cr</v>
      </c>
      <c r="D8" t="str">
        <f>TEXT(D4/100,"0.00%")</f>
        <v>10.06%</v>
      </c>
      <c r="E8" t="str">
        <f>TEXT(F4,"#,##0")</f>
        <v>5,503</v>
      </c>
      <c r="F8" t="str">
        <f>TEXT(C4/A4,"0.00%")</f>
        <v>16.51%</v>
      </c>
    </row>
    <row r="11" spans="1:6" x14ac:dyDescent="0.25">
      <c r="D11" t="s">
        <v>1086</v>
      </c>
    </row>
    <row r="12" spans="1:6" x14ac:dyDescent="0.25">
      <c r="A12" s="3" t="s">
        <v>1076</v>
      </c>
      <c r="B12" t="s">
        <v>1072</v>
      </c>
      <c r="D12" t="s">
        <v>1087</v>
      </c>
      <c r="E12" t="s">
        <v>1083</v>
      </c>
    </row>
    <row r="13" spans="1:6" x14ac:dyDescent="0.25">
      <c r="A13" s="4" t="s">
        <v>56</v>
      </c>
      <c r="B13" s="7">
        <v>16176463.25</v>
      </c>
      <c r="D13" t="str">
        <f>A13</f>
        <v>Rice</v>
      </c>
      <c r="E13" t="str">
        <f>"₹"&amp;TEXT(B13/10000000,"0.00")&amp;" Cr"</f>
        <v>₹1.62 Cr</v>
      </c>
    </row>
    <row r="14" spans="1:6" x14ac:dyDescent="0.25">
      <c r="A14" s="4" t="s">
        <v>48</v>
      </c>
      <c r="B14" s="7">
        <v>15516837.15</v>
      </c>
      <c r="D14" t="str">
        <f>A14</f>
        <v>Phone</v>
      </c>
      <c r="E14" t="str">
        <f>"₹"&amp;TEXT(B14/10000000,"0.00")&amp;" Cr"</f>
        <v>₹1.55 Cr</v>
      </c>
    </row>
    <row r="15" spans="1:6" x14ac:dyDescent="0.25">
      <c r="A15" s="4" t="s">
        <v>59</v>
      </c>
      <c r="B15" s="7">
        <v>15253892.1</v>
      </c>
      <c r="D15" t="str">
        <f>A15</f>
        <v>Shirt</v>
      </c>
      <c r="E15" t="str">
        <f>"₹"&amp;TEXT(B15/10000000,"0.00")&amp;" Cr"</f>
        <v>₹1.53 Cr</v>
      </c>
    </row>
    <row r="16" spans="1:6" x14ac:dyDescent="0.25">
      <c r="A16" s="4" t="s">
        <v>90</v>
      </c>
      <c r="B16" s="7">
        <v>15223738.449999999</v>
      </c>
      <c r="D16" t="str">
        <f>A16</f>
        <v>Bat</v>
      </c>
      <c r="E16" t="str">
        <f>"₹"&amp;TEXT(B16/10000000,"0.00")&amp;" Cr"</f>
        <v>₹1.52 Cr</v>
      </c>
    </row>
    <row r="17" spans="1:10" x14ac:dyDescent="0.25">
      <c r="A17" s="4" t="s">
        <v>41</v>
      </c>
      <c r="B17" s="7">
        <v>14993820.25</v>
      </c>
      <c r="D17" t="str">
        <f>A17</f>
        <v>Jacket</v>
      </c>
      <c r="E17" t="str">
        <f>"₹"&amp;TEXT(B17/10000000,"0.00")&amp;" Cr"</f>
        <v>₹1.50 Cr</v>
      </c>
    </row>
    <row r="18" spans="1:10" x14ac:dyDescent="0.25">
      <c r="A18" s="4" t="s">
        <v>88</v>
      </c>
      <c r="B18" s="7">
        <v>14667817.9</v>
      </c>
      <c r="D18" t="str">
        <f>A18</f>
        <v>Desk</v>
      </c>
      <c r="E18" t="str">
        <f>"₹"&amp;TEXT(B18/10000000,"0.00")&amp;" Cr"</f>
        <v>₹1.47 Cr</v>
      </c>
    </row>
    <row r="19" spans="1:10" x14ac:dyDescent="0.25">
      <c r="A19" s="4" t="s">
        <v>22</v>
      </c>
      <c r="B19" s="7">
        <v>14629893.85</v>
      </c>
      <c r="D19" t="str">
        <f>A19</f>
        <v>Oil</v>
      </c>
      <c r="E19" t="str">
        <f>"₹"&amp;TEXT(B19/10000000,"0.00")&amp;" Cr"</f>
        <v>₹1.46 Cr</v>
      </c>
    </row>
    <row r="20" spans="1:10" x14ac:dyDescent="0.25">
      <c r="A20" s="4" t="s">
        <v>100</v>
      </c>
      <c r="B20" s="7">
        <v>13774474.949999999</v>
      </c>
      <c r="D20" t="str">
        <f>A20</f>
        <v>Sofa</v>
      </c>
      <c r="E20" t="str">
        <f>"₹"&amp;TEXT(B20/10000000,"0.00")&amp;" Cr"</f>
        <v>₹1.38 Cr</v>
      </c>
    </row>
    <row r="21" spans="1:10" x14ac:dyDescent="0.25">
      <c r="A21" s="4" t="s">
        <v>53</v>
      </c>
      <c r="B21" s="7">
        <v>12767460.6</v>
      </c>
      <c r="D21" t="str">
        <f>A21</f>
        <v>Laptop</v>
      </c>
      <c r="E21" t="str">
        <f>"₹"&amp;TEXT(B21/10000000,"0.00")&amp;" Cr"</f>
        <v>₹1.28 Cr</v>
      </c>
    </row>
    <row r="22" spans="1:10" x14ac:dyDescent="0.25">
      <c r="A22" s="4" t="s">
        <v>30</v>
      </c>
      <c r="B22" s="7">
        <v>12355954.9</v>
      </c>
      <c r="D22" t="str">
        <f>A22</f>
        <v>Headphones</v>
      </c>
      <c r="E22" t="str">
        <f>"₹"&amp;TEXT(B22/10000000,"0.00")&amp;" Cr"</f>
        <v>₹1.24 Cr</v>
      </c>
    </row>
    <row r="24" spans="1:10" x14ac:dyDescent="0.25">
      <c r="A24" s="4" t="s">
        <v>1093</v>
      </c>
    </row>
    <row r="25" spans="1:10" x14ac:dyDescent="0.25">
      <c r="A25" s="3" t="s">
        <v>1076</v>
      </c>
      <c r="B25" t="s">
        <v>1073</v>
      </c>
      <c r="C25" t="s">
        <v>1075</v>
      </c>
      <c r="F25" t="s">
        <v>1088</v>
      </c>
      <c r="I25" t="s">
        <v>1089</v>
      </c>
    </row>
    <row r="26" spans="1:10" x14ac:dyDescent="0.25">
      <c r="A26" s="4" t="s">
        <v>66</v>
      </c>
      <c r="B26" s="5">
        <v>4751226.67</v>
      </c>
      <c r="C26" s="2">
        <v>754</v>
      </c>
      <c r="F26" t="s">
        <v>1090</v>
      </c>
      <c r="G26" t="s">
        <v>1091</v>
      </c>
      <c r="I26" t="s">
        <v>1090</v>
      </c>
      <c r="J26" t="s">
        <v>1092</v>
      </c>
    </row>
    <row r="27" spans="1:10" x14ac:dyDescent="0.25">
      <c r="A27" s="4" t="s">
        <v>26</v>
      </c>
      <c r="B27" s="5">
        <v>4403582.49</v>
      </c>
      <c r="C27" s="2">
        <v>724</v>
      </c>
      <c r="F27" t="str">
        <f>A26</f>
        <v>West Bengal</v>
      </c>
      <c r="G27" t="str">
        <f>TEXT(C26,"#,##0")</f>
        <v>754</v>
      </c>
      <c r="I27" t="str">
        <f>A26</f>
        <v>West Bengal</v>
      </c>
      <c r="J27" s="5">
        <f>B26</f>
        <v>4751226.67</v>
      </c>
    </row>
    <row r="28" spans="1:10" x14ac:dyDescent="0.25">
      <c r="A28" s="4" t="s">
        <v>82</v>
      </c>
      <c r="B28" s="5">
        <v>3910799.25</v>
      </c>
      <c r="C28" s="2">
        <v>638</v>
      </c>
      <c r="F28" t="str">
        <f t="shared" ref="F28:F34" si="0">A27</f>
        <v>Gujarat</v>
      </c>
      <c r="G28" t="str">
        <f t="shared" ref="G28:G36" si="1">TEXT(C27,"#,##0")</f>
        <v>724</v>
      </c>
      <c r="I28" t="str">
        <f t="shared" ref="I28:I36" si="2">A27</f>
        <v>Gujarat</v>
      </c>
      <c r="J28" s="5">
        <f t="shared" ref="J28:J36" si="3">B27</f>
        <v>4403582.49</v>
      </c>
    </row>
    <row r="29" spans="1:10" x14ac:dyDescent="0.25">
      <c r="A29" s="4" t="s">
        <v>61</v>
      </c>
      <c r="B29" s="5">
        <v>3695757.89</v>
      </c>
      <c r="C29" s="2">
        <v>636</v>
      </c>
      <c r="F29" t="str">
        <f t="shared" si="0"/>
        <v>Odisha</v>
      </c>
      <c r="G29" t="str">
        <f t="shared" si="1"/>
        <v>638</v>
      </c>
      <c r="I29" t="str">
        <f t="shared" si="2"/>
        <v>Odisha</v>
      </c>
      <c r="J29" s="5">
        <f t="shared" si="3"/>
        <v>3910799.25</v>
      </c>
    </row>
    <row r="30" spans="1:10" x14ac:dyDescent="0.25">
      <c r="A30" s="4" t="s">
        <v>85</v>
      </c>
      <c r="B30" s="5">
        <v>3370119.91</v>
      </c>
      <c r="C30" s="2">
        <v>547</v>
      </c>
      <c r="F30" t="str">
        <f t="shared" si="0"/>
        <v>Maharashtra</v>
      </c>
      <c r="G30" t="str">
        <f t="shared" si="1"/>
        <v>636</v>
      </c>
      <c r="I30" t="str">
        <f t="shared" si="2"/>
        <v>Maharashtra</v>
      </c>
      <c r="J30" s="5">
        <f t="shared" si="3"/>
        <v>3695757.89</v>
      </c>
    </row>
    <row r="31" spans="1:10" x14ac:dyDescent="0.25">
      <c r="A31" s="4" t="s">
        <v>37</v>
      </c>
      <c r="B31" s="5">
        <v>3043956.85</v>
      </c>
      <c r="C31" s="2">
        <v>511</v>
      </c>
      <c r="F31" t="str">
        <f t="shared" si="0"/>
        <v>Telangana</v>
      </c>
      <c r="G31" t="str">
        <f t="shared" si="1"/>
        <v>547</v>
      </c>
      <c r="I31" t="str">
        <f t="shared" si="2"/>
        <v>Telangana</v>
      </c>
      <c r="J31" s="5">
        <f t="shared" si="3"/>
        <v>3370119.91</v>
      </c>
    </row>
    <row r="32" spans="1:10" x14ac:dyDescent="0.25">
      <c r="A32" s="4" t="s">
        <v>106</v>
      </c>
      <c r="B32" s="5">
        <v>2750722.72</v>
      </c>
      <c r="C32" s="2">
        <v>419</v>
      </c>
      <c r="F32" t="str">
        <f t="shared" si="0"/>
        <v>Karnataka</v>
      </c>
      <c r="G32" t="str">
        <f t="shared" si="1"/>
        <v>511</v>
      </c>
      <c r="I32" t="str">
        <f t="shared" si="2"/>
        <v>Karnataka</v>
      </c>
      <c r="J32" s="5">
        <f t="shared" si="3"/>
        <v>3043956.85</v>
      </c>
    </row>
    <row r="33" spans="1:10" x14ac:dyDescent="0.25">
      <c r="A33" s="4" t="s">
        <v>17</v>
      </c>
      <c r="B33" s="5">
        <v>2737843.78</v>
      </c>
      <c r="C33" s="2">
        <v>452</v>
      </c>
      <c r="F33" t="str">
        <f t="shared" si="0"/>
        <v>Uttar Pradesh</v>
      </c>
      <c r="G33" t="str">
        <f t="shared" si="1"/>
        <v>419</v>
      </c>
      <c r="I33" t="str">
        <f t="shared" si="2"/>
        <v>Uttar Pradesh</v>
      </c>
      <c r="J33" s="5">
        <f t="shared" si="3"/>
        <v>2750722.72</v>
      </c>
    </row>
    <row r="34" spans="1:10" x14ac:dyDescent="0.25">
      <c r="A34" s="4" t="s">
        <v>50</v>
      </c>
      <c r="B34" s="5">
        <v>2470478.1</v>
      </c>
      <c r="C34" s="2">
        <v>435</v>
      </c>
      <c r="F34" t="str">
        <f t="shared" si="0"/>
        <v>Punjab</v>
      </c>
      <c r="G34" t="str">
        <f t="shared" si="1"/>
        <v>452</v>
      </c>
      <c r="I34" t="str">
        <f t="shared" si="2"/>
        <v>Punjab</v>
      </c>
      <c r="J34" s="5">
        <f t="shared" si="3"/>
        <v>2737843.78</v>
      </c>
    </row>
    <row r="35" spans="1:10" x14ac:dyDescent="0.25">
      <c r="A35" s="4" t="s">
        <v>44</v>
      </c>
      <c r="B35" s="5">
        <v>2354481.73</v>
      </c>
      <c r="C35" s="2">
        <v>387</v>
      </c>
      <c r="F35" t="str">
        <f>A34</f>
        <v>Tamil Nadu</v>
      </c>
      <c r="G35" t="str">
        <f t="shared" si="1"/>
        <v>435</v>
      </c>
      <c r="I35" t="str">
        <f t="shared" si="2"/>
        <v>Tamil Nadu</v>
      </c>
      <c r="J35" s="5">
        <f t="shared" si="3"/>
        <v>2470478.1</v>
      </c>
    </row>
    <row r="36" spans="1:10" x14ac:dyDescent="0.25">
      <c r="F36" t="str">
        <f>A35</f>
        <v>Delhi</v>
      </c>
      <c r="G36" t="str">
        <f t="shared" si="1"/>
        <v>387</v>
      </c>
      <c r="I36" t="str">
        <f t="shared" si="2"/>
        <v>Delhi</v>
      </c>
      <c r="J36" s="5">
        <f t="shared" si="3"/>
        <v>2354481.73</v>
      </c>
    </row>
    <row r="38" spans="1:10" x14ac:dyDescent="0.25">
      <c r="A38" s="4" t="s">
        <v>1094</v>
      </c>
    </row>
    <row r="39" spans="1:10" x14ac:dyDescent="0.25">
      <c r="A39" s="3" t="s">
        <v>1076</v>
      </c>
      <c r="B39" t="s">
        <v>1072</v>
      </c>
    </row>
    <row r="40" spans="1:10" x14ac:dyDescent="0.25">
      <c r="A40" s="4" t="s">
        <v>72</v>
      </c>
      <c r="B40" s="2">
        <v>29171760.449999999</v>
      </c>
    </row>
    <row r="41" spans="1:10" x14ac:dyDescent="0.25">
      <c r="A41" s="4" t="s">
        <v>47</v>
      </c>
      <c r="B41" s="2">
        <v>26665439.600000001</v>
      </c>
    </row>
    <row r="42" spans="1:10" x14ac:dyDescent="0.25">
      <c r="A42" s="4" t="s">
        <v>52</v>
      </c>
      <c r="B42" s="2">
        <v>26629936.399999999</v>
      </c>
    </row>
    <row r="43" spans="1:10" x14ac:dyDescent="0.25">
      <c r="A43" s="4" t="s">
        <v>93</v>
      </c>
      <c r="B43" s="2">
        <v>25677514.699999999</v>
      </c>
    </row>
    <row r="44" spans="1:10" x14ac:dyDescent="0.25">
      <c r="A44" s="4" t="s">
        <v>39</v>
      </c>
      <c r="B44" s="2">
        <v>25471738.399999999</v>
      </c>
    </row>
    <row r="46" spans="1:10" x14ac:dyDescent="0.25">
      <c r="A46" s="4" t="s">
        <v>1095</v>
      </c>
    </row>
    <row r="47" spans="1:10" x14ac:dyDescent="0.25">
      <c r="A47" s="3" t="s">
        <v>1076</v>
      </c>
      <c r="B47" t="s">
        <v>1072</v>
      </c>
      <c r="C47" t="s">
        <v>1075</v>
      </c>
    </row>
    <row r="48" spans="1:10" x14ac:dyDescent="0.25">
      <c r="A48" s="4" t="s">
        <v>1096</v>
      </c>
      <c r="B48" s="6">
        <v>15443541.6</v>
      </c>
      <c r="C48" s="2">
        <v>431</v>
      </c>
    </row>
    <row r="49" spans="1:3" x14ac:dyDescent="0.25">
      <c r="A49" s="4" t="s">
        <v>1097</v>
      </c>
      <c r="B49" s="6">
        <v>11791139.199999999</v>
      </c>
      <c r="C49" s="2">
        <v>341</v>
      </c>
    </row>
    <row r="50" spans="1:3" x14ac:dyDescent="0.25">
      <c r="A50" s="4" t="s">
        <v>1098</v>
      </c>
      <c r="B50" s="6">
        <v>21922387.100000001</v>
      </c>
      <c r="C50" s="2">
        <v>591</v>
      </c>
    </row>
    <row r="51" spans="1:3" x14ac:dyDescent="0.25">
      <c r="A51" s="4" t="s">
        <v>1099</v>
      </c>
      <c r="B51" s="6">
        <v>15363197.25</v>
      </c>
      <c r="C51" s="2">
        <v>420</v>
      </c>
    </row>
    <row r="52" spans="1:3" x14ac:dyDescent="0.25">
      <c r="A52" s="4" t="s">
        <v>1100</v>
      </c>
      <c r="B52" s="6">
        <v>18945591.100000001</v>
      </c>
      <c r="C52" s="2">
        <v>523</v>
      </c>
    </row>
    <row r="53" spans="1:3" x14ac:dyDescent="0.25">
      <c r="A53" s="4" t="s">
        <v>1101</v>
      </c>
      <c r="B53" s="6">
        <v>13906126.65</v>
      </c>
      <c r="C53" s="2">
        <v>413</v>
      </c>
    </row>
    <row r="54" spans="1:3" x14ac:dyDescent="0.25">
      <c r="A54" s="4" t="s">
        <v>1102</v>
      </c>
      <c r="B54" s="6">
        <v>17258482.449999999</v>
      </c>
      <c r="C54" s="2">
        <v>474</v>
      </c>
    </row>
    <row r="55" spans="1:3" x14ac:dyDescent="0.25">
      <c r="A55" s="4" t="s">
        <v>1103</v>
      </c>
      <c r="B55" s="6">
        <v>18723168.199999999</v>
      </c>
      <c r="C55" s="2">
        <v>483</v>
      </c>
    </row>
    <row r="56" spans="1:3" x14ac:dyDescent="0.25">
      <c r="A56" s="4" t="s">
        <v>1104</v>
      </c>
      <c r="B56" s="6">
        <v>16258661.65</v>
      </c>
      <c r="C56" s="2">
        <v>443</v>
      </c>
    </row>
    <row r="57" spans="1:3" x14ac:dyDescent="0.25">
      <c r="A57" s="4" t="s">
        <v>1105</v>
      </c>
      <c r="B57" s="6">
        <v>17084158.25</v>
      </c>
      <c r="C57" s="2">
        <v>467</v>
      </c>
    </row>
    <row r="58" spans="1:3" x14ac:dyDescent="0.25">
      <c r="A58" s="4" t="s">
        <v>1106</v>
      </c>
      <c r="B58" s="6">
        <v>22319951.399999999</v>
      </c>
      <c r="C58" s="2">
        <v>547</v>
      </c>
    </row>
    <row r="59" spans="1:3" x14ac:dyDescent="0.25">
      <c r="A59" s="4" t="s">
        <v>1107</v>
      </c>
      <c r="B59" s="6">
        <v>13838342.5</v>
      </c>
      <c r="C59" s="2">
        <v>370</v>
      </c>
    </row>
    <row r="61" spans="1:3" x14ac:dyDescent="0.25">
      <c r="A61" s="4" t="s">
        <v>1108</v>
      </c>
    </row>
    <row r="62" spans="1:3" x14ac:dyDescent="0.25">
      <c r="A62" s="3" t="s">
        <v>1076</v>
      </c>
      <c r="B62" t="s">
        <v>1084</v>
      </c>
    </row>
    <row r="63" spans="1:3" x14ac:dyDescent="0.25">
      <c r="A63" s="4" t="s">
        <v>44</v>
      </c>
      <c r="B63" s="2">
        <v>9.9342105263157894</v>
      </c>
    </row>
    <row r="64" spans="1:3" x14ac:dyDescent="0.25">
      <c r="A64" s="4" t="s">
        <v>26</v>
      </c>
      <c r="B64" s="2">
        <v>10.511811023622048</v>
      </c>
    </row>
    <row r="65" spans="1:2" x14ac:dyDescent="0.25">
      <c r="A65" s="4" t="s">
        <v>37</v>
      </c>
      <c r="B65" s="2">
        <v>9.9473684210526319</v>
      </c>
    </row>
    <row r="66" spans="1:2" x14ac:dyDescent="0.25">
      <c r="A66" s="4" t="s">
        <v>61</v>
      </c>
      <c r="B66" s="2">
        <v>9.8230088495575227</v>
      </c>
    </row>
    <row r="67" spans="1:2" x14ac:dyDescent="0.25">
      <c r="A67" s="4" t="s">
        <v>82</v>
      </c>
      <c r="B67" s="2">
        <v>10.546218487394958</v>
      </c>
    </row>
    <row r="68" spans="1:2" x14ac:dyDescent="0.25">
      <c r="A68" s="4" t="s">
        <v>17</v>
      </c>
      <c r="B68" s="2">
        <v>9.3827160493827169</v>
      </c>
    </row>
    <row r="69" spans="1:2" x14ac:dyDescent="0.25">
      <c r="A69" s="4" t="s">
        <v>50</v>
      </c>
      <c r="B69" s="2">
        <v>9.8101265822784818</v>
      </c>
    </row>
    <row r="70" spans="1:2" x14ac:dyDescent="0.25">
      <c r="A70" s="4" t="s">
        <v>85</v>
      </c>
      <c r="B70" s="2">
        <v>10.86734693877551</v>
      </c>
    </row>
    <row r="71" spans="1:2" x14ac:dyDescent="0.25">
      <c r="A71" s="4" t="s">
        <v>106</v>
      </c>
      <c r="B71" s="2">
        <v>9.2857142857142865</v>
      </c>
    </row>
    <row r="72" spans="1:2" x14ac:dyDescent="0.25">
      <c r="A72" s="4" t="s">
        <v>66</v>
      </c>
      <c r="B72" s="2">
        <v>9.9629629629629637</v>
      </c>
    </row>
    <row r="74" spans="1:2" x14ac:dyDescent="0.25">
      <c r="A74" s="4" t="s">
        <v>1109</v>
      </c>
    </row>
    <row r="75" spans="1:2" x14ac:dyDescent="0.25">
      <c r="A75" s="3" t="s">
        <v>1076</v>
      </c>
      <c r="B75" t="s">
        <v>1110</v>
      </c>
    </row>
    <row r="76" spans="1:2" x14ac:dyDescent="0.25">
      <c r="A76" s="4" t="s">
        <v>28</v>
      </c>
      <c r="B76" s="2">
        <v>498</v>
      </c>
    </row>
    <row r="77" spans="1:2" x14ac:dyDescent="0.25">
      <c r="A77" s="4" t="s">
        <v>20</v>
      </c>
      <c r="B77" s="2">
        <v>502</v>
      </c>
    </row>
  </sheetData>
  <pageMargins left="0.7" right="0.7" top="0.75" bottom="0.75" header="0.3" footer="0.3"/>
  <ignoredErrors>
    <ignoredError sqref="B8" formula="1"/>
  </ignoredErrors>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2" workbookViewId="0">
      <selection activeCell="B14" sqref="B14"/>
    </sheetView>
  </sheetViews>
  <sheetFormatPr defaultRowHeight="15" x14ac:dyDescent="0.25"/>
  <cols>
    <col min="1" max="1" width="10.5703125" customWidth="1"/>
    <col min="2" max="2" width="17.28515625" bestFit="1" customWidth="1"/>
    <col min="3" max="3" width="9.28515625" customWidth="1"/>
    <col min="4" max="5" width="13.140625" bestFit="1" customWidth="1"/>
    <col min="6" max="6" width="13.85546875" customWidth="1"/>
    <col min="7" max="7" width="16.42578125" customWidth="1"/>
    <col min="8" max="8" width="18.28515625" customWidth="1"/>
    <col min="9" max="9" width="15.7109375" customWidth="1"/>
    <col min="10" max="10" width="10.85546875" customWidth="1"/>
    <col min="11" max="11" width="11.85546875" customWidth="1"/>
    <col min="12" max="12" width="12.85546875" customWidth="1"/>
    <col min="13" max="13" width="15.28515625" customWidth="1"/>
    <col min="14" max="14" width="10" bestFit="1" customWidth="1"/>
    <col min="15" max="15" width="18.5703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s="1">
        <v>45922</v>
      </c>
      <c r="C2" t="s">
        <v>16</v>
      </c>
      <c r="D2" t="s">
        <v>17</v>
      </c>
      <c r="E2" t="s">
        <v>18</v>
      </c>
      <c r="F2" t="s">
        <v>19</v>
      </c>
      <c r="G2" t="s">
        <v>20</v>
      </c>
      <c r="H2" t="s">
        <v>21</v>
      </c>
      <c r="I2" t="s">
        <v>22</v>
      </c>
      <c r="J2">
        <v>8</v>
      </c>
      <c r="K2">
        <v>66433</v>
      </c>
      <c r="L2">
        <v>10</v>
      </c>
      <c r="M2">
        <v>478317.6</v>
      </c>
      <c r="N2">
        <v>59724.92</v>
      </c>
      <c r="O2" t="s">
        <v>23</v>
      </c>
    </row>
    <row r="3" spans="1:15" x14ac:dyDescent="0.25">
      <c r="A3" t="s">
        <v>24</v>
      </c>
      <c r="B3" s="1">
        <v>45929</v>
      </c>
      <c r="C3" t="s">
        <v>25</v>
      </c>
      <c r="D3" t="s">
        <v>26</v>
      </c>
      <c r="E3" t="s">
        <v>27</v>
      </c>
      <c r="F3" t="s">
        <v>19</v>
      </c>
      <c r="G3" t="s">
        <v>28</v>
      </c>
      <c r="H3" t="s">
        <v>29</v>
      </c>
      <c r="I3" t="s">
        <v>30</v>
      </c>
      <c r="J3">
        <v>7</v>
      </c>
      <c r="K3">
        <v>26391</v>
      </c>
      <c r="L3">
        <v>5</v>
      </c>
      <c r="M3">
        <v>175500.15</v>
      </c>
      <c r="N3">
        <v>16372.11</v>
      </c>
      <c r="O3" t="s">
        <v>31</v>
      </c>
    </row>
    <row r="4" spans="1:15" x14ac:dyDescent="0.25">
      <c r="A4" t="s">
        <v>32</v>
      </c>
      <c r="B4" s="1">
        <v>45937</v>
      </c>
      <c r="C4" t="s">
        <v>25</v>
      </c>
      <c r="D4" t="s">
        <v>26</v>
      </c>
      <c r="E4" t="s">
        <v>27</v>
      </c>
      <c r="F4" t="s">
        <v>33</v>
      </c>
      <c r="G4" t="s">
        <v>28</v>
      </c>
      <c r="H4" t="s">
        <v>21</v>
      </c>
      <c r="I4" t="s">
        <v>22</v>
      </c>
      <c r="J4">
        <v>6</v>
      </c>
      <c r="K4">
        <v>60222</v>
      </c>
      <c r="L4">
        <v>20</v>
      </c>
      <c r="M4">
        <v>289065.59999999998</v>
      </c>
      <c r="N4">
        <v>46383.57</v>
      </c>
      <c r="O4" t="s">
        <v>34</v>
      </c>
    </row>
    <row r="5" spans="1:15" x14ac:dyDescent="0.25">
      <c r="A5" t="s">
        <v>35</v>
      </c>
      <c r="B5" s="1">
        <v>45915</v>
      </c>
      <c r="C5" t="s">
        <v>36</v>
      </c>
      <c r="D5" t="s">
        <v>37</v>
      </c>
      <c r="E5" t="s">
        <v>38</v>
      </c>
      <c r="F5" t="s">
        <v>39</v>
      </c>
      <c r="G5" t="s">
        <v>28</v>
      </c>
      <c r="H5" t="s">
        <v>40</v>
      </c>
      <c r="I5" t="s">
        <v>41</v>
      </c>
      <c r="J5">
        <v>8</v>
      </c>
      <c r="K5">
        <v>65755</v>
      </c>
      <c r="L5">
        <v>0</v>
      </c>
      <c r="M5">
        <v>526040</v>
      </c>
      <c r="N5">
        <v>85977.37</v>
      </c>
      <c r="O5" t="s">
        <v>42</v>
      </c>
    </row>
    <row r="6" spans="1:15" x14ac:dyDescent="0.25">
      <c r="A6" t="s">
        <v>43</v>
      </c>
      <c r="B6" s="1">
        <v>45890</v>
      </c>
      <c r="C6" t="s">
        <v>16</v>
      </c>
      <c r="D6" t="s">
        <v>44</v>
      </c>
      <c r="E6" t="s">
        <v>44</v>
      </c>
      <c r="F6" t="s">
        <v>39</v>
      </c>
      <c r="G6" t="s">
        <v>28</v>
      </c>
      <c r="H6" t="s">
        <v>21</v>
      </c>
      <c r="I6" t="s">
        <v>45</v>
      </c>
      <c r="J6">
        <v>8</v>
      </c>
      <c r="K6">
        <v>38663</v>
      </c>
      <c r="L6">
        <v>0</v>
      </c>
      <c r="M6">
        <v>309304</v>
      </c>
      <c r="N6">
        <v>70298.47</v>
      </c>
      <c r="O6" t="s">
        <v>31</v>
      </c>
    </row>
    <row r="7" spans="1:15" x14ac:dyDescent="0.25">
      <c r="A7" t="s">
        <v>46</v>
      </c>
      <c r="B7" s="1">
        <v>45970</v>
      </c>
      <c r="C7" t="s">
        <v>25</v>
      </c>
      <c r="D7" t="s">
        <v>26</v>
      </c>
      <c r="E7" t="s">
        <v>27</v>
      </c>
      <c r="F7" t="s">
        <v>47</v>
      </c>
      <c r="G7" t="s">
        <v>28</v>
      </c>
      <c r="H7" t="s">
        <v>29</v>
      </c>
      <c r="I7" t="s">
        <v>48</v>
      </c>
      <c r="J7">
        <v>7</v>
      </c>
      <c r="K7">
        <v>37644</v>
      </c>
      <c r="L7">
        <v>20</v>
      </c>
      <c r="M7">
        <v>210806.39999999999</v>
      </c>
      <c r="N7">
        <v>17153.900000000001</v>
      </c>
      <c r="O7" t="s">
        <v>31</v>
      </c>
    </row>
    <row r="8" spans="1:15" x14ac:dyDescent="0.25">
      <c r="A8" t="s">
        <v>49</v>
      </c>
      <c r="B8" s="1">
        <v>45874</v>
      </c>
      <c r="C8" t="s">
        <v>36</v>
      </c>
      <c r="D8" t="s">
        <v>50</v>
      </c>
      <c r="E8" t="s">
        <v>51</v>
      </c>
      <c r="F8" t="s">
        <v>52</v>
      </c>
      <c r="G8" t="s">
        <v>28</v>
      </c>
      <c r="H8" t="s">
        <v>29</v>
      </c>
      <c r="I8" t="s">
        <v>53</v>
      </c>
      <c r="J8">
        <v>8</v>
      </c>
      <c r="K8">
        <v>76054</v>
      </c>
      <c r="L8">
        <v>0</v>
      </c>
      <c r="M8">
        <v>608432</v>
      </c>
      <c r="N8">
        <v>138403.25</v>
      </c>
      <c r="O8" t="s">
        <v>34</v>
      </c>
    </row>
    <row r="9" spans="1:15" x14ac:dyDescent="0.25">
      <c r="A9" t="s">
        <v>54</v>
      </c>
      <c r="B9" s="1">
        <v>45992</v>
      </c>
      <c r="C9" t="s">
        <v>36</v>
      </c>
      <c r="D9" t="s">
        <v>50</v>
      </c>
      <c r="E9" t="s">
        <v>51</v>
      </c>
      <c r="F9" t="s">
        <v>39</v>
      </c>
      <c r="G9" t="s">
        <v>28</v>
      </c>
      <c r="H9" t="s">
        <v>29</v>
      </c>
      <c r="I9" t="s">
        <v>53</v>
      </c>
      <c r="J9">
        <v>10</v>
      </c>
      <c r="K9">
        <v>44415</v>
      </c>
      <c r="L9">
        <v>10</v>
      </c>
      <c r="M9">
        <v>399735</v>
      </c>
      <c r="N9">
        <v>74728.14</v>
      </c>
      <c r="O9" t="s">
        <v>34</v>
      </c>
    </row>
    <row r="10" spans="1:15" x14ac:dyDescent="0.25">
      <c r="A10" t="s">
        <v>55</v>
      </c>
      <c r="B10" s="1">
        <v>45719</v>
      </c>
      <c r="C10" t="s">
        <v>16</v>
      </c>
      <c r="D10" t="s">
        <v>17</v>
      </c>
      <c r="E10" t="s">
        <v>18</v>
      </c>
      <c r="F10" t="s">
        <v>39</v>
      </c>
      <c r="G10" t="s">
        <v>20</v>
      </c>
      <c r="H10" t="s">
        <v>21</v>
      </c>
      <c r="I10" t="s">
        <v>56</v>
      </c>
      <c r="J10">
        <v>9</v>
      </c>
      <c r="K10">
        <v>53031</v>
      </c>
      <c r="L10">
        <v>20</v>
      </c>
      <c r="M10">
        <v>381823.2</v>
      </c>
      <c r="N10">
        <v>57846.75</v>
      </c>
      <c r="O10" t="s">
        <v>34</v>
      </c>
    </row>
    <row r="11" spans="1:15" x14ac:dyDescent="0.25">
      <c r="A11" t="s">
        <v>57</v>
      </c>
      <c r="B11" s="1">
        <v>45669</v>
      </c>
      <c r="C11" t="s">
        <v>16</v>
      </c>
      <c r="D11" t="s">
        <v>44</v>
      </c>
      <c r="E11" t="s">
        <v>44</v>
      </c>
      <c r="F11" t="s">
        <v>52</v>
      </c>
      <c r="G11" t="s">
        <v>28</v>
      </c>
      <c r="H11" t="s">
        <v>21</v>
      </c>
      <c r="I11" t="s">
        <v>45</v>
      </c>
      <c r="J11">
        <v>10</v>
      </c>
      <c r="K11">
        <v>65523</v>
      </c>
      <c r="L11">
        <v>5</v>
      </c>
      <c r="M11">
        <v>622468.5</v>
      </c>
      <c r="N11">
        <v>109809.62</v>
      </c>
      <c r="O11" t="s">
        <v>23</v>
      </c>
    </row>
    <row r="12" spans="1:15" x14ac:dyDescent="0.25">
      <c r="A12" t="s">
        <v>58</v>
      </c>
      <c r="B12" s="1">
        <v>45790</v>
      </c>
      <c r="C12" t="s">
        <v>36</v>
      </c>
      <c r="D12" t="s">
        <v>37</v>
      </c>
      <c r="E12" t="s">
        <v>38</v>
      </c>
      <c r="F12" t="s">
        <v>39</v>
      </c>
      <c r="G12" t="s">
        <v>28</v>
      </c>
      <c r="H12" t="s">
        <v>40</v>
      </c>
      <c r="I12" t="s">
        <v>59</v>
      </c>
      <c r="J12">
        <v>5</v>
      </c>
      <c r="K12">
        <v>72373</v>
      </c>
      <c r="L12">
        <v>20</v>
      </c>
      <c r="M12">
        <v>289492</v>
      </c>
      <c r="N12">
        <v>61664.51</v>
      </c>
      <c r="O12" t="s">
        <v>23</v>
      </c>
    </row>
    <row r="13" spans="1:15" x14ac:dyDescent="0.25">
      <c r="A13" t="s">
        <v>60</v>
      </c>
      <c r="B13" s="1">
        <v>45983</v>
      </c>
      <c r="C13" t="s">
        <v>25</v>
      </c>
      <c r="D13" t="s">
        <v>61</v>
      </c>
      <c r="E13" t="s">
        <v>62</v>
      </c>
      <c r="F13" t="s">
        <v>63</v>
      </c>
      <c r="G13" t="s">
        <v>28</v>
      </c>
      <c r="H13" t="s">
        <v>21</v>
      </c>
      <c r="I13" t="s">
        <v>56</v>
      </c>
      <c r="J13">
        <v>7</v>
      </c>
      <c r="K13">
        <v>43543</v>
      </c>
      <c r="L13">
        <v>10</v>
      </c>
      <c r="M13">
        <v>274320.90000000002</v>
      </c>
      <c r="N13">
        <v>31890.12</v>
      </c>
      <c r="O13" t="s">
        <v>23</v>
      </c>
    </row>
    <row r="14" spans="1:15" x14ac:dyDescent="0.25">
      <c r="A14" t="s">
        <v>64</v>
      </c>
      <c r="B14" s="1">
        <v>45744</v>
      </c>
      <c r="C14" t="s">
        <v>65</v>
      </c>
      <c r="D14" t="s">
        <v>66</v>
      </c>
      <c r="E14" t="s">
        <v>67</v>
      </c>
      <c r="F14" t="s">
        <v>39</v>
      </c>
      <c r="G14" t="s">
        <v>20</v>
      </c>
      <c r="H14" t="s">
        <v>68</v>
      </c>
      <c r="I14" t="s">
        <v>69</v>
      </c>
      <c r="J14">
        <v>8</v>
      </c>
      <c r="K14">
        <v>11755</v>
      </c>
      <c r="L14">
        <v>5</v>
      </c>
      <c r="M14">
        <v>89338</v>
      </c>
      <c r="N14">
        <v>10028.4</v>
      </c>
      <c r="O14" t="s">
        <v>34</v>
      </c>
    </row>
    <row r="15" spans="1:15" x14ac:dyDescent="0.25">
      <c r="A15" t="s">
        <v>70</v>
      </c>
      <c r="B15" s="1">
        <v>45893</v>
      </c>
      <c r="C15" t="s">
        <v>25</v>
      </c>
      <c r="D15" t="s">
        <v>26</v>
      </c>
      <c r="E15" t="s">
        <v>27</v>
      </c>
      <c r="F15" t="s">
        <v>19</v>
      </c>
      <c r="G15" t="s">
        <v>20</v>
      </c>
      <c r="H15" t="s">
        <v>21</v>
      </c>
      <c r="I15" t="s">
        <v>22</v>
      </c>
      <c r="J15">
        <v>2</v>
      </c>
      <c r="K15">
        <v>55902</v>
      </c>
      <c r="L15">
        <v>15</v>
      </c>
      <c r="M15">
        <v>95033.4</v>
      </c>
      <c r="N15">
        <v>10387.75</v>
      </c>
      <c r="O15" t="s">
        <v>42</v>
      </c>
    </row>
    <row r="16" spans="1:15" x14ac:dyDescent="0.25">
      <c r="A16" t="s">
        <v>71</v>
      </c>
      <c r="B16" s="1">
        <v>45846</v>
      </c>
      <c r="C16" t="s">
        <v>25</v>
      </c>
      <c r="D16" t="s">
        <v>61</v>
      </c>
      <c r="E16" t="s">
        <v>62</v>
      </c>
      <c r="F16" t="s">
        <v>72</v>
      </c>
      <c r="G16" t="s">
        <v>20</v>
      </c>
      <c r="H16" t="s">
        <v>29</v>
      </c>
      <c r="I16" t="s">
        <v>53</v>
      </c>
      <c r="J16">
        <v>7</v>
      </c>
      <c r="K16">
        <v>40881</v>
      </c>
      <c r="L16">
        <v>10</v>
      </c>
      <c r="M16">
        <v>257550.3</v>
      </c>
      <c r="N16">
        <v>46576.39</v>
      </c>
      <c r="O16" t="s">
        <v>42</v>
      </c>
    </row>
    <row r="17" spans="1:15" x14ac:dyDescent="0.25">
      <c r="A17" t="s">
        <v>73</v>
      </c>
      <c r="B17" s="1">
        <v>46018</v>
      </c>
      <c r="C17" t="s">
        <v>36</v>
      </c>
      <c r="D17" t="s">
        <v>50</v>
      </c>
      <c r="E17" t="s">
        <v>51</v>
      </c>
      <c r="F17" t="s">
        <v>47</v>
      </c>
      <c r="G17" t="s">
        <v>28</v>
      </c>
      <c r="H17" t="s">
        <v>29</v>
      </c>
      <c r="I17" t="s">
        <v>53</v>
      </c>
      <c r="J17">
        <v>9</v>
      </c>
      <c r="K17">
        <v>63860</v>
      </c>
      <c r="L17">
        <v>0</v>
      </c>
      <c r="M17">
        <v>574740</v>
      </c>
      <c r="N17">
        <v>99840.34</v>
      </c>
      <c r="O17" t="s">
        <v>42</v>
      </c>
    </row>
    <row r="18" spans="1:15" x14ac:dyDescent="0.25">
      <c r="A18" t="s">
        <v>74</v>
      </c>
      <c r="B18" s="1">
        <v>45837</v>
      </c>
      <c r="C18" t="s">
        <v>25</v>
      </c>
      <c r="D18" t="s">
        <v>26</v>
      </c>
      <c r="E18" t="s">
        <v>27</v>
      </c>
      <c r="F18" t="s">
        <v>47</v>
      </c>
      <c r="G18" t="s">
        <v>28</v>
      </c>
      <c r="H18" t="s">
        <v>29</v>
      </c>
      <c r="I18" t="s">
        <v>48</v>
      </c>
      <c r="J18">
        <v>7</v>
      </c>
      <c r="K18">
        <v>60391</v>
      </c>
      <c r="L18">
        <v>20</v>
      </c>
      <c r="M18">
        <v>338189.6</v>
      </c>
      <c r="N18">
        <v>83514.42</v>
      </c>
      <c r="O18" t="s">
        <v>34</v>
      </c>
    </row>
    <row r="19" spans="1:15" x14ac:dyDescent="0.25">
      <c r="A19" t="s">
        <v>75</v>
      </c>
      <c r="B19" s="1">
        <v>45738</v>
      </c>
      <c r="C19" t="s">
        <v>65</v>
      </c>
      <c r="D19" t="s">
        <v>66</v>
      </c>
      <c r="E19" t="s">
        <v>67</v>
      </c>
      <c r="F19" t="s">
        <v>33</v>
      </c>
      <c r="G19" t="s">
        <v>28</v>
      </c>
      <c r="H19" t="s">
        <v>21</v>
      </c>
      <c r="I19" t="s">
        <v>45</v>
      </c>
      <c r="J19">
        <v>6</v>
      </c>
      <c r="K19">
        <v>31014</v>
      </c>
      <c r="L19">
        <v>5</v>
      </c>
      <c r="M19">
        <v>176779.8</v>
      </c>
      <c r="N19">
        <v>36474.69</v>
      </c>
      <c r="O19" t="s">
        <v>31</v>
      </c>
    </row>
    <row r="20" spans="1:15" x14ac:dyDescent="0.25">
      <c r="A20" t="s">
        <v>76</v>
      </c>
      <c r="B20" s="1">
        <v>46006</v>
      </c>
      <c r="C20" t="s">
        <v>36</v>
      </c>
      <c r="D20" t="s">
        <v>37</v>
      </c>
      <c r="E20" t="s">
        <v>38</v>
      </c>
      <c r="F20" t="s">
        <v>47</v>
      </c>
      <c r="G20" t="s">
        <v>20</v>
      </c>
      <c r="H20" t="s">
        <v>77</v>
      </c>
      <c r="I20" t="s">
        <v>78</v>
      </c>
      <c r="J20">
        <v>8</v>
      </c>
      <c r="K20">
        <v>28790</v>
      </c>
      <c r="L20">
        <v>15</v>
      </c>
      <c r="M20">
        <v>195772</v>
      </c>
      <c r="N20">
        <v>22218.54</v>
      </c>
      <c r="O20" t="s">
        <v>42</v>
      </c>
    </row>
    <row r="21" spans="1:15" x14ac:dyDescent="0.25">
      <c r="A21" t="s">
        <v>79</v>
      </c>
      <c r="B21" s="1">
        <v>45694</v>
      </c>
      <c r="C21" t="s">
        <v>16</v>
      </c>
      <c r="D21" t="s">
        <v>17</v>
      </c>
      <c r="E21" t="s">
        <v>18</v>
      </c>
      <c r="F21" t="s">
        <v>52</v>
      </c>
      <c r="G21" t="s">
        <v>20</v>
      </c>
      <c r="H21" t="s">
        <v>40</v>
      </c>
      <c r="I21" t="s">
        <v>80</v>
      </c>
      <c r="J21">
        <v>1</v>
      </c>
      <c r="K21">
        <v>76562</v>
      </c>
      <c r="L21">
        <v>10</v>
      </c>
      <c r="M21">
        <v>68905.8</v>
      </c>
      <c r="N21">
        <v>11777.5</v>
      </c>
      <c r="O21" t="s">
        <v>31</v>
      </c>
    </row>
    <row r="22" spans="1:15" x14ac:dyDescent="0.25">
      <c r="A22" t="s">
        <v>81</v>
      </c>
      <c r="B22" s="1">
        <v>45873</v>
      </c>
      <c r="C22" t="s">
        <v>65</v>
      </c>
      <c r="D22" t="s">
        <v>82</v>
      </c>
      <c r="E22" t="s">
        <v>83</v>
      </c>
      <c r="F22" t="s">
        <v>52</v>
      </c>
      <c r="G22" t="s">
        <v>20</v>
      </c>
      <c r="H22" t="s">
        <v>40</v>
      </c>
      <c r="I22" t="s">
        <v>59</v>
      </c>
      <c r="J22">
        <v>7</v>
      </c>
      <c r="K22">
        <v>48238</v>
      </c>
      <c r="L22">
        <v>0</v>
      </c>
      <c r="M22">
        <v>337666</v>
      </c>
      <c r="N22">
        <v>39548.33</v>
      </c>
      <c r="O22" t="s">
        <v>23</v>
      </c>
    </row>
    <row r="23" spans="1:15" x14ac:dyDescent="0.25">
      <c r="A23" t="s">
        <v>84</v>
      </c>
      <c r="B23" s="1">
        <v>45995</v>
      </c>
      <c r="C23" t="s">
        <v>36</v>
      </c>
      <c r="D23" t="s">
        <v>85</v>
      </c>
      <c r="E23" t="s">
        <v>86</v>
      </c>
      <c r="F23" t="s">
        <v>52</v>
      </c>
      <c r="G23" t="s">
        <v>28</v>
      </c>
      <c r="H23" t="s">
        <v>21</v>
      </c>
      <c r="I23" t="s">
        <v>56</v>
      </c>
      <c r="J23">
        <v>9</v>
      </c>
      <c r="K23">
        <v>51471</v>
      </c>
      <c r="L23">
        <v>10</v>
      </c>
      <c r="M23">
        <v>416915.1</v>
      </c>
      <c r="N23">
        <v>36955.24</v>
      </c>
      <c r="O23" t="s">
        <v>31</v>
      </c>
    </row>
    <row r="24" spans="1:15" x14ac:dyDescent="0.25">
      <c r="A24" t="s">
        <v>87</v>
      </c>
      <c r="B24" s="1">
        <v>45954</v>
      </c>
      <c r="C24" t="s">
        <v>36</v>
      </c>
      <c r="D24" t="s">
        <v>50</v>
      </c>
      <c r="E24" t="s">
        <v>51</v>
      </c>
      <c r="F24" t="s">
        <v>52</v>
      </c>
      <c r="G24" t="s">
        <v>28</v>
      </c>
      <c r="H24" t="s">
        <v>77</v>
      </c>
      <c r="I24" t="s">
        <v>88</v>
      </c>
      <c r="J24">
        <v>3</v>
      </c>
      <c r="K24">
        <v>30587</v>
      </c>
      <c r="L24">
        <v>15</v>
      </c>
      <c r="M24">
        <v>77996.850000000006</v>
      </c>
      <c r="N24">
        <v>15327.67</v>
      </c>
      <c r="O24" t="s">
        <v>31</v>
      </c>
    </row>
    <row r="25" spans="1:15" x14ac:dyDescent="0.25">
      <c r="A25" t="s">
        <v>89</v>
      </c>
      <c r="B25" s="1">
        <v>45906</v>
      </c>
      <c r="C25" t="s">
        <v>65</v>
      </c>
      <c r="D25" t="s">
        <v>66</v>
      </c>
      <c r="E25" t="s">
        <v>67</v>
      </c>
      <c r="F25" t="s">
        <v>47</v>
      </c>
      <c r="G25" t="s">
        <v>28</v>
      </c>
      <c r="H25" t="s">
        <v>68</v>
      </c>
      <c r="I25" t="s">
        <v>90</v>
      </c>
      <c r="J25">
        <v>4</v>
      </c>
      <c r="K25">
        <v>65129</v>
      </c>
      <c r="L25">
        <v>5</v>
      </c>
      <c r="M25">
        <v>247490.2</v>
      </c>
      <c r="N25">
        <v>36512.31</v>
      </c>
      <c r="O25" t="s">
        <v>31</v>
      </c>
    </row>
    <row r="26" spans="1:15" x14ac:dyDescent="0.25">
      <c r="A26" t="s">
        <v>91</v>
      </c>
      <c r="B26" s="1">
        <v>45904</v>
      </c>
      <c r="C26" t="s">
        <v>65</v>
      </c>
      <c r="D26" t="s">
        <v>82</v>
      </c>
      <c r="E26" t="s">
        <v>83</v>
      </c>
      <c r="F26" t="s">
        <v>63</v>
      </c>
      <c r="G26" t="s">
        <v>20</v>
      </c>
      <c r="H26" t="s">
        <v>40</v>
      </c>
      <c r="I26" t="s">
        <v>41</v>
      </c>
      <c r="J26">
        <v>3</v>
      </c>
      <c r="K26">
        <v>70383</v>
      </c>
      <c r="L26">
        <v>5</v>
      </c>
      <c r="M26">
        <v>200591.55</v>
      </c>
      <c r="N26">
        <v>20326.560000000001</v>
      </c>
      <c r="O26" t="s">
        <v>34</v>
      </c>
    </row>
    <row r="27" spans="1:15" x14ac:dyDescent="0.25">
      <c r="A27" t="s">
        <v>92</v>
      </c>
      <c r="B27" s="1">
        <v>45765</v>
      </c>
      <c r="C27" t="s">
        <v>25</v>
      </c>
      <c r="D27" t="s">
        <v>61</v>
      </c>
      <c r="E27" t="s">
        <v>62</v>
      </c>
      <c r="F27" t="s">
        <v>93</v>
      </c>
      <c r="G27" t="s">
        <v>20</v>
      </c>
      <c r="H27" t="s">
        <v>68</v>
      </c>
      <c r="I27" t="s">
        <v>94</v>
      </c>
      <c r="J27">
        <v>2</v>
      </c>
      <c r="K27">
        <v>43787</v>
      </c>
      <c r="L27">
        <v>10</v>
      </c>
      <c r="M27">
        <v>78816.600000000006</v>
      </c>
      <c r="N27">
        <v>19258.63</v>
      </c>
      <c r="O27" t="s">
        <v>42</v>
      </c>
    </row>
    <row r="28" spans="1:15" x14ac:dyDescent="0.25">
      <c r="A28" t="s">
        <v>95</v>
      </c>
      <c r="B28" s="1">
        <v>45936</v>
      </c>
      <c r="C28" t="s">
        <v>36</v>
      </c>
      <c r="D28" t="s">
        <v>37</v>
      </c>
      <c r="E28" t="s">
        <v>38</v>
      </c>
      <c r="F28" t="s">
        <v>19</v>
      </c>
      <c r="G28" t="s">
        <v>28</v>
      </c>
      <c r="H28" t="s">
        <v>68</v>
      </c>
      <c r="I28" t="s">
        <v>69</v>
      </c>
      <c r="J28">
        <v>8</v>
      </c>
      <c r="K28">
        <v>13602</v>
      </c>
      <c r="L28">
        <v>20</v>
      </c>
      <c r="M28">
        <v>87052.800000000003</v>
      </c>
      <c r="N28">
        <v>15343.72</v>
      </c>
      <c r="O28" t="s">
        <v>34</v>
      </c>
    </row>
    <row r="29" spans="1:15" x14ac:dyDescent="0.25">
      <c r="A29" t="s">
        <v>96</v>
      </c>
      <c r="B29" s="1">
        <v>45735</v>
      </c>
      <c r="C29" t="s">
        <v>16</v>
      </c>
      <c r="D29" t="s">
        <v>44</v>
      </c>
      <c r="E29" t="s">
        <v>44</v>
      </c>
      <c r="F29" t="s">
        <v>72</v>
      </c>
      <c r="G29" t="s">
        <v>28</v>
      </c>
      <c r="H29" t="s">
        <v>68</v>
      </c>
      <c r="I29" t="s">
        <v>90</v>
      </c>
      <c r="J29">
        <v>3</v>
      </c>
      <c r="K29">
        <v>40992</v>
      </c>
      <c r="L29">
        <v>20</v>
      </c>
      <c r="M29">
        <v>98380.800000000003</v>
      </c>
      <c r="N29">
        <v>10335.290000000001</v>
      </c>
      <c r="O29" t="s">
        <v>31</v>
      </c>
    </row>
    <row r="30" spans="1:15" x14ac:dyDescent="0.25">
      <c r="A30" t="s">
        <v>97</v>
      </c>
      <c r="B30" s="1">
        <v>45958</v>
      </c>
      <c r="C30" t="s">
        <v>36</v>
      </c>
      <c r="D30" t="s">
        <v>85</v>
      </c>
      <c r="E30" t="s">
        <v>86</v>
      </c>
      <c r="F30" t="s">
        <v>19</v>
      </c>
      <c r="G30" t="s">
        <v>28</v>
      </c>
      <c r="H30" t="s">
        <v>68</v>
      </c>
      <c r="I30" t="s">
        <v>69</v>
      </c>
      <c r="J30">
        <v>2</v>
      </c>
      <c r="K30">
        <v>44720</v>
      </c>
      <c r="L30">
        <v>5</v>
      </c>
      <c r="M30">
        <v>84968</v>
      </c>
      <c r="N30">
        <v>20093.759999999998</v>
      </c>
      <c r="O30" t="s">
        <v>31</v>
      </c>
    </row>
    <row r="31" spans="1:15" x14ac:dyDescent="0.25">
      <c r="A31" t="s">
        <v>98</v>
      </c>
      <c r="B31" s="1">
        <v>45914</v>
      </c>
      <c r="C31" t="s">
        <v>25</v>
      </c>
      <c r="D31" t="s">
        <v>26</v>
      </c>
      <c r="E31" t="s">
        <v>27</v>
      </c>
      <c r="F31" t="s">
        <v>52</v>
      </c>
      <c r="G31" t="s">
        <v>28</v>
      </c>
      <c r="H31" t="s">
        <v>68</v>
      </c>
      <c r="I31" t="s">
        <v>69</v>
      </c>
      <c r="J31">
        <v>7</v>
      </c>
      <c r="K31">
        <v>68226</v>
      </c>
      <c r="L31">
        <v>10</v>
      </c>
      <c r="M31">
        <v>429823.8</v>
      </c>
      <c r="N31">
        <v>54520.160000000003</v>
      </c>
      <c r="O31" t="s">
        <v>42</v>
      </c>
    </row>
    <row r="32" spans="1:15" x14ac:dyDescent="0.25">
      <c r="A32" t="s">
        <v>99</v>
      </c>
      <c r="B32" s="1">
        <v>45793</v>
      </c>
      <c r="C32" t="s">
        <v>65</v>
      </c>
      <c r="D32" t="s">
        <v>66</v>
      </c>
      <c r="E32" t="s">
        <v>67</v>
      </c>
      <c r="F32" t="s">
        <v>33</v>
      </c>
      <c r="G32" t="s">
        <v>20</v>
      </c>
      <c r="H32" t="s">
        <v>77</v>
      </c>
      <c r="I32" t="s">
        <v>100</v>
      </c>
      <c r="J32">
        <v>1</v>
      </c>
      <c r="K32">
        <v>24353</v>
      </c>
      <c r="L32">
        <v>0</v>
      </c>
      <c r="M32">
        <v>24353</v>
      </c>
      <c r="N32">
        <v>2569.8000000000002</v>
      </c>
      <c r="O32" t="s">
        <v>31</v>
      </c>
    </row>
    <row r="33" spans="1:15" x14ac:dyDescent="0.25">
      <c r="A33" t="s">
        <v>101</v>
      </c>
      <c r="B33" s="1">
        <v>45992</v>
      </c>
      <c r="C33" t="s">
        <v>36</v>
      </c>
      <c r="D33" t="s">
        <v>85</v>
      </c>
      <c r="E33" t="s">
        <v>86</v>
      </c>
      <c r="F33" t="s">
        <v>39</v>
      </c>
      <c r="G33" t="s">
        <v>28</v>
      </c>
      <c r="H33" t="s">
        <v>21</v>
      </c>
      <c r="I33" t="s">
        <v>45</v>
      </c>
      <c r="J33">
        <v>9</v>
      </c>
      <c r="K33">
        <v>72401</v>
      </c>
      <c r="L33">
        <v>5</v>
      </c>
      <c r="M33">
        <v>619028.55000000005</v>
      </c>
      <c r="N33">
        <v>129775.48</v>
      </c>
      <c r="O33" t="s">
        <v>31</v>
      </c>
    </row>
    <row r="34" spans="1:15" x14ac:dyDescent="0.25">
      <c r="A34" t="s">
        <v>102</v>
      </c>
      <c r="B34" s="1">
        <v>45663</v>
      </c>
      <c r="C34" t="s">
        <v>36</v>
      </c>
      <c r="D34" t="s">
        <v>37</v>
      </c>
      <c r="E34" t="s">
        <v>38</v>
      </c>
      <c r="F34" t="s">
        <v>52</v>
      </c>
      <c r="G34" t="s">
        <v>20</v>
      </c>
      <c r="H34" t="s">
        <v>21</v>
      </c>
      <c r="I34" t="s">
        <v>45</v>
      </c>
      <c r="J34">
        <v>5</v>
      </c>
      <c r="K34">
        <v>39479</v>
      </c>
      <c r="L34">
        <v>15</v>
      </c>
      <c r="M34">
        <v>167785.75</v>
      </c>
      <c r="N34">
        <v>28372.33</v>
      </c>
      <c r="O34" t="s">
        <v>23</v>
      </c>
    </row>
    <row r="35" spans="1:15" x14ac:dyDescent="0.25">
      <c r="A35" t="s">
        <v>103</v>
      </c>
      <c r="B35" s="1">
        <v>45840</v>
      </c>
      <c r="C35" t="s">
        <v>16</v>
      </c>
      <c r="D35" t="s">
        <v>17</v>
      </c>
      <c r="E35" t="s">
        <v>18</v>
      </c>
      <c r="F35" t="s">
        <v>52</v>
      </c>
      <c r="G35" t="s">
        <v>28</v>
      </c>
      <c r="H35" t="s">
        <v>21</v>
      </c>
      <c r="I35" t="s">
        <v>22</v>
      </c>
      <c r="J35">
        <v>9</v>
      </c>
      <c r="K35">
        <v>5934</v>
      </c>
      <c r="L35">
        <v>15</v>
      </c>
      <c r="M35">
        <v>45395.1</v>
      </c>
      <c r="N35">
        <v>9503.23</v>
      </c>
      <c r="O35" t="s">
        <v>23</v>
      </c>
    </row>
    <row r="36" spans="1:15" x14ac:dyDescent="0.25">
      <c r="A36" t="s">
        <v>104</v>
      </c>
      <c r="B36" s="1">
        <v>45898</v>
      </c>
      <c r="C36" t="s">
        <v>25</v>
      </c>
      <c r="D36" t="s">
        <v>61</v>
      </c>
      <c r="E36" t="s">
        <v>62</v>
      </c>
      <c r="F36" t="s">
        <v>39</v>
      </c>
      <c r="G36" t="s">
        <v>28</v>
      </c>
      <c r="H36" t="s">
        <v>40</v>
      </c>
      <c r="I36" t="s">
        <v>41</v>
      </c>
      <c r="J36">
        <v>8</v>
      </c>
      <c r="K36">
        <v>51045</v>
      </c>
      <c r="L36">
        <v>15</v>
      </c>
      <c r="M36">
        <v>347106</v>
      </c>
      <c r="N36">
        <v>55429.79</v>
      </c>
      <c r="O36" t="s">
        <v>23</v>
      </c>
    </row>
    <row r="37" spans="1:15" x14ac:dyDescent="0.25">
      <c r="A37" t="s">
        <v>105</v>
      </c>
      <c r="B37" s="1">
        <v>45827</v>
      </c>
      <c r="C37" t="s">
        <v>16</v>
      </c>
      <c r="D37" t="s">
        <v>106</v>
      </c>
      <c r="E37" t="s">
        <v>107</v>
      </c>
      <c r="F37" t="s">
        <v>93</v>
      </c>
      <c r="G37" t="s">
        <v>28</v>
      </c>
      <c r="H37" t="s">
        <v>40</v>
      </c>
      <c r="I37" t="s">
        <v>41</v>
      </c>
      <c r="J37">
        <v>6</v>
      </c>
      <c r="K37">
        <v>6954</v>
      </c>
      <c r="L37">
        <v>10</v>
      </c>
      <c r="M37">
        <v>37551.599999999999</v>
      </c>
      <c r="N37">
        <v>3779.14</v>
      </c>
      <c r="O37" t="s">
        <v>23</v>
      </c>
    </row>
    <row r="38" spans="1:15" x14ac:dyDescent="0.25">
      <c r="A38" t="s">
        <v>108</v>
      </c>
      <c r="B38" s="1">
        <v>45868</v>
      </c>
      <c r="C38" t="s">
        <v>65</v>
      </c>
      <c r="D38" t="s">
        <v>66</v>
      </c>
      <c r="E38" t="s">
        <v>67</v>
      </c>
      <c r="F38" t="s">
        <v>19</v>
      </c>
      <c r="G38" t="s">
        <v>28</v>
      </c>
      <c r="H38" t="s">
        <v>77</v>
      </c>
      <c r="I38" t="s">
        <v>78</v>
      </c>
      <c r="J38">
        <v>7</v>
      </c>
      <c r="K38">
        <v>10968</v>
      </c>
      <c r="L38">
        <v>0</v>
      </c>
      <c r="M38">
        <v>76776</v>
      </c>
      <c r="N38">
        <v>16876.259999999998</v>
      </c>
      <c r="O38" t="s">
        <v>23</v>
      </c>
    </row>
    <row r="39" spans="1:15" x14ac:dyDescent="0.25">
      <c r="A39" t="s">
        <v>109</v>
      </c>
      <c r="B39" s="1">
        <v>45667</v>
      </c>
      <c r="C39" t="s">
        <v>36</v>
      </c>
      <c r="D39" t="s">
        <v>37</v>
      </c>
      <c r="E39" t="s">
        <v>38</v>
      </c>
      <c r="F39" t="s">
        <v>72</v>
      </c>
      <c r="G39" t="s">
        <v>20</v>
      </c>
      <c r="H39" t="s">
        <v>77</v>
      </c>
      <c r="I39" t="s">
        <v>88</v>
      </c>
      <c r="J39">
        <v>3</v>
      </c>
      <c r="K39">
        <v>57079</v>
      </c>
      <c r="L39">
        <v>0</v>
      </c>
      <c r="M39">
        <v>171237</v>
      </c>
      <c r="N39">
        <v>25801.599999999999</v>
      </c>
      <c r="O39" t="s">
        <v>31</v>
      </c>
    </row>
    <row r="40" spans="1:15" x14ac:dyDescent="0.25">
      <c r="A40" t="s">
        <v>110</v>
      </c>
      <c r="B40" s="1">
        <v>45880</v>
      </c>
      <c r="C40" t="s">
        <v>16</v>
      </c>
      <c r="D40" t="s">
        <v>106</v>
      </c>
      <c r="E40" t="s">
        <v>107</v>
      </c>
      <c r="F40" t="s">
        <v>93</v>
      </c>
      <c r="G40" t="s">
        <v>20</v>
      </c>
      <c r="H40" t="s">
        <v>68</v>
      </c>
      <c r="I40" t="s">
        <v>90</v>
      </c>
      <c r="J40">
        <v>4</v>
      </c>
      <c r="K40">
        <v>58010</v>
      </c>
      <c r="L40">
        <v>10</v>
      </c>
      <c r="M40">
        <v>208836</v>
      </c>
      <c r="N40">
        <v>24801.72</v>
      </c>
      <c r="O40" t="s">
        <v>23</v>
      </c>
    </row>
    <row r="41" spans="1:15" x14ac:dyDescent="0.25">
      <c r="A41" t="s">
        <v>111</v>
      </c>
      <c r="B41" s="1">
        <v>45896</v>
      </c>
      <c r="C41" t="s">
        <v>65</v>
      </c>
      <c r="D41" t="s">
        <v>82</v>
      </c>
      <c r="E41" t="s">
        <v>83</v>
      </c>
      <c r="F41" t="s">
        <v>33</v>
      </c>
      <c r="G41" t="s">
        <v>20</v>
      </c>
      <c r="H41" t="s">
        <v>21</v>
      </c>
      <c r="I41" t="s">
        <v>22</v>
      </c>
      <c r="J41">
        <v>10</v>
      </c>
      <c r="K41">
        <v>52881</v>
      </c>
      <c r="L41">
        <v>15</v>
      </c>
      <c r="M41">
        <v>449488.5</v>
      </c>
      <c r="N41">
        <v>73964.03</v>
      </c>
      <c r="O41" t="s">
        <v>31</v>
      </c>
    </row>
    <row r="42" spans="1:15" x14ac:dyDescent="0.25">
      <c r="A42" t="s">
        <v>112</v>
      </c>
      <c r="B42" s="1">
        <v>45982</v>
      </c>
      <c r="C42" t="s">
        <v>65</v>
      </c>
      <c r="D42" t="s">
        <v>66</v>
      </c>
      <c r="E42" t="s">
        <v>67</v>
      </c>
      <c r="F42" t="s">
        <v>47</v>
      </c>
      <c r="G42" t="s">
        <v>28</v>
      </c>
      <c r="H42" t="s">
        <v>29</v>
      </c>
      <c r="I42" t="s">
        <v>30</v>
      </c>
      <c r="J42">
        <v>1</v>
      </c>
      <c r="K42">
        <v>3920</v>
      </c>
      <c r="L42">
        <v>20</v>
      </c>
      <c r="M42">
        <v>3136</v>
      </c>
      <c r="N42">
        <v>641.5</v>
      </c>
      <c r="O42" t="s">
        <v>23</v>
      </c>
    </row>
    <row r="43" spans="1:15" x14ac:dyDescent="0.25">
      <c r="A43" t="s">
        <v>113</v>
      </c>
      <c r="B43" s="1">
        <v>46003</v>
      </c>
      <c r="C43" t="s">
        <v>36</v>
      </c>
      <c r="D43" t="s">
        <v>85</v>
      </c>
      <c r="E43" t="s">
        <v>86</v>
      </c>
      <c r="F43" t="s">
        <v>33</v>
      </c>
      <c r="G43" t="s">
        <v>20</v>
      </c>
      <c r="H43" t="s">
        <v>29</v>
      </c>
      <c r="I43" t="s">
        <v>48</v>
      </c>
      <c r="J43">
        <v>9</v>
      </c>
      <c r="K43">
        <v>36343</v>
      </c>
      <c r="L43">
        <v>20</v>
      </c>
      <c r="M43">
        <v>261669.6</v>
      </c>
      <c r="N43">
        <v>51320.19</v>
      </c>
      <c r="O43" t="s">
        <v>23</v>
      </c>
    </row>
    <row r="44" spans="1:15" x14ac:dyDescent="0.25">
      <c r="A44" t="s">
        <v>114</v>
      </c>
      <c r="B44" s="1">
        <v>45774</v>
      </c>
      <c r="C44" t="s">
        <v>25</v>
      </c>
      <c r="D44" t="s">
        <v>61</v>
      </c>
      <c r="E44" t="s">
        <v>62</v>
      </c>
      <c r="F44" t="s">
        <v>39</v>
      </c>
      <c r="G44" t="s">
        <v>28</v>
      </c>
      <c r="H44" t="s">
        <v>21</v>
      </c>
      <c r="I44" t="s">
        <v>22</v>
      </c>
      <c r="J44">
        <v>9</v>
      </c>
      <c r="K44">
        <v>66449</v>
      </c>
      <c r="L44">
        <v>0</v>
      </c>
      <c r="M44">
        <v>598041</v>
      </c>
      <c r="N44">
        <v>118215.31</v>
      </c>
      <c r="O44" t="s">
        <v>23</v>
      </c>
    </row>
    <row r="45" spans="1:15" x14ac:dyDescent="0.25">
      <c r="A45" t="s">
        <v>115</v>
      </c>
      <c r="B45" s="1">
        <v>45814</v>
      </c>
      <c r="C45" t="s">
        <v>25</v>
      </c>
      <c r="D45" t="s">
        <v>26</v>
      </c>
      <c r="E45" t="s">
        <v>27</v>
      </c>
      <c r="F45" t="s">
        <v>93</v>
      </c>
      <c r="G45" t="s">
        <v>20</v>
      </c>
      <c r="H45" t="s">
        <v>40</v>
      </c>
      <c r="I45" t="s">
        <v>59</v>
      </c>
      <c r="J45">
        <v>5</v>
      </c>
      <c r="K45">
        <v>18933</v>
      </c>
      <c r="L45">
        <v>5</v>
      </c>
      <c r="M45">
        <v>89931.75</v>
      </c>
      <c r="N45">
        <v>13104.9</v>
      </c>
      <c r="O45" t="s">
        <v>23</v>
      </c>
    </row>
    <row r="46" spans="1:15" x14ac:dyDescent="0.25">
      <c r="A46" t="s">
        <v>116</v>
      </c>
      <c r="B46" s="1">
        <v>46019</v>
      </c>
      <c r="C46" t="s">
        <v>36</v>
      </c>
      <c r="D46" t="s">
        <v>37</v>
      </c>
      <c r="E46" t="s">
        <v>38</v>
      </c>
      <c r="F46" t="s">
        <v>72</v>
      </c>
      <c r="G46" t="s">
        <v>28</v>
      </c>
      <c r="H46" t="s">
        <v>77</v>
      </c>
      <c r="I46" t="s">
        <v>88</v>
      </c>
      <c r="J46">
        <v>3</v>
      </c>
      <c r="K46">
        <v>69561</v>
      </c>
      <c r="L46">
        <v>20</v>
      </c>
      <c r="M46">
        <v>166946.4</v>
      </c>
      <c r="N46">
        <v>25864.16</v>
      </c>
      <c r="O46" t="s">
        <v>34</v>
      </c>
    </row>
    <row r="47" spans="1:15" x14ac:dyDescent="0.25">
      <c r="A47" t="s">
        <v>117</v>
      </c>
      <c r="B47" s="1">
        <v>45811</v>
      </c>
      <c r="C47" t="s">
        <v>36</v>
      </c>
      <c r="D47" t="s">
        <v>85</v>
      </c>
      <c r="E47" t="s">
        <v>86</v>
      </c>
      <c r="F47" t="s">
        <v>39</v>
      </c>
      <c r="G47" t="s">
        <v>20</v>
      </c>
      <c r="H47" t="s">
        <v>77</v>
      </c>
      <c r="I47" t="s">
        <v>88</v>
      </c>
      <c r="J47">
        <v>4</v>
      </c>
      <c r="K47">
        <v>60535</v>
      </c>
      <c r="L47">
        <v>0</v>
      </c>
      <c r="M47">
        <v>242140</v>
      </c>
      <c r="N47">
        <v>38737.57</v>
      </c>
      <c r="O47" t="s">
        <v>42</v>
      </c>
    </row>
    <row r="48" spans="1:15" x14ac:dyDescent="0.25">
      <c r="A48" t="s">
        <v>118</v>
      </c>
      <c r="B48" s="1">
        <v>45935</v>
      </c>
      <c r="C48" t="s">
        <v>16</v>
      </c>
      <c r="D48" t="s">
        <v>44</v>
      </c>
      <c r="E48" t="s">
        <v>44</v>
      </c>
      <c r="F48" t="s">
        <v>47</v>
      </c>
      <c r="G48" t="s">
        <v>28</v>
      </c>
      <c r="H48" t="s">
        <v>21</v>
      </c>
      <c r="I48" t="s">
        <v>22</v>
      </c>
      <c r="J48">
        <v>4</v>
      </c>
      <c r="K48">
        <v>14536</v>
      </c>
      <c r="L48">
        <v>0</v>
      </c>
      <c r="M48">
        <v>58144</v>
      </c>
      <c r="N48">
        <v>7371.37</v>
      </c>
      <c r="O48" t="s">
        <v>23</v>
      </c>
    </row>
    <row r="49" spans="1:15" x14ac:dyDescent="0.25">
      <c r="A49" t="s">
        <v>119</v>
      </c>
      <c r="B49" s="1">
        <v>45782</v>
      </c>
      <c r="C49" t="s">
        <v>36</v>
      </c>
      <c r="D49" t="s">
        <v>37</v>
      </c>
      <c r="E49" t="s">
        <v>38</v>
      </c>
      <c r="F49" t="s">
        <v>72</v>
      </c>
      <c r="G49" t="s">
        <v>20</v>
      </c>
      <c r="H49" t="s">
        <v>68</v>
      </c>
      <c r="I49" t="s">
        <v>90</v>
      </c>
      <c r="J49">
        <v>10</v>
      </c>
      <c r="K49">
        <v>74046</v>
      </c>
      <c r="L49">
        <v>15</v>
      </c>
      <c r="M49">
        <v>629391</v>
      </c>
      <c r="N49">
        <v>139574.22</v>
      </c>
      <c r="O49" t="s">
        <v>31</v>
      </c>
    </row>
    <row r="50" spans="1:15" x14ac:dyDescent="0.25">
      <c r="A50" t="s">
        <v>120</v>
      </c>
      <c r="B50" s="1">
        <v>45964</v>
      </c>
      <c r="C50" t="s">
        <v>36</v>
      </c>
      <c r="D50" t="s">
        <v>37</v>
      </c>
      <c r="E50" t="s">
        <v>38</v>
      </c>
      <c r="F50" t="s">
        <v>33</v>
      </c>
      <c r="G50" t="s">
        <v>20</v>
      </c>
      <c r="H50" t="s">
        <v>77</v>
      </c>
      <c r="I50" t="s">
        <v>88</v>
      </c>
      <c r="J50">
        <v>7</v>
      </c>
      <c r="K50">
        <v>17784</v>
      </c>
      <c r="L50">
        <v>10</v>
      </c>
      <c r="M50">
        <v>112039.2</v>
      </c>
      <c r="N50">
        <v>17852.46</v>
      </c>
      <c r="O50" t="s">
        <v>23</v>
      </c>
    </row>
    <row r="51" spans="1:15" x14ac:dyDescent="0.25">
      <c r="A51" t="s">
        <v>121</v>
      </c>
      <c r="B51" s="1">
        <v>45787</v>
      </c>
      <c r="C51" t="s">
        <v>65</v>
      </c>
      <c r="D51" t="s">
        <v>82</v>
      </c>
      <c r="E51" t="s">
        <v>83</v>
      </c>
      <c r="F51" t="s">
        <v>63</v>
      </c>
      <c r="G51" t="s">
        <v>28</v>
      </c>
      <c r="H51" t="s">
        <v>40</v>
      </c>
      <c r="I51" t="s">
        <v>41</v>
      </c>
      <c r="J51">
        <v>2</v>
      </c>
      <c r="K51">
        <v>17455</v>
      </c>
      <c r="L51">
        <v>5</v>
      </c>
      <c r="M51">
        <v>33164.5</v>
      </c>
      <c r="N51">
        <v>3299.46</v>
      </c>
      <c r="O51" t="s">
        <v>31</v>
      </c>
    </row>
    <row r="52" spans="1:15" x14ac:dyDescent="0.25">
      <c r="A52" t="s">
        <v>122</v>
      </c>
      <c r="B52" s="1">
        <v>45661</v>
      </c>
      <c r="C52" t="s">
        <v>25</v>
      </c>
      <c r="D52" t="s">
        <v>26</v>
      </c>
      <c r="E52" t="s">
        <v>27</v>
      </c>
      <c r="F52" t="s">
        <v>47</v>
      </c>
      <c r="G52" t="s">
        <v>20</v>
      </c>
      <c r="H52" t="s">
        <v>40</v>
      </c>
      <c r="I52" t="s">
        <v>41</v>
      </c>
      <c r="J52">
        <v>1</v>
      </c>
      <c r="K52">
        <v>40237</v>
      </c>
      <c r="L52">
        <v>5</v>
      </c>
      <c r="M52">
        <v>38225.15</v>
      </c>
      <c r="N52">
        <v>8183.87</v>
      </c>
      <c r="O52" t="s">
        <v>23</v>
      </c>
    </row>
    <row r="53" spans="1:15" x14ac:dyDescent="0.25">
      <c r="A53" t="s">
        <v>123</v>
      </c>
      <c r="B53" s="1">
        <v>45876</v>
      </c>
      <c r="C53" t="s">
        <v>65</v>
      </c>
      <c r="D53" t="s">
        <v>82</v>
      </c>
      <c r="E53" t="s">
        <v>83</v>
      </c>
      <c r="F53" t="s">
        <v>39</v>
      </c>
      <c r="G53" t="s">
        <v>28</v>
      </c>
      <c r="H53" t="s">
        <v>77</v>
      </c>
      <c r="I53" t="s">
        <v>100</v>
      </c>
      <c r="J53">
        <v>10</v>
      </c>
      <c r="K53">
        <v>38442</v>
      </c>
      <c r="L53">
        <v>5</v>
      </c>
      <c r="M53">
        <v>365199</v>
      </c>
      <c r="N53">
        <v>37942.080000000002</v>
      </c>
      <c r="O53" t="s">
        <v>23</v>
      </c>
    </row>
    <row r="54" spans="1:15" x14ac:dyDescent="0.25">
      <c r="A54" t="s">
        <v>124</v>
      </c>
      <c r="B54" s="1">
        <v>45686</v>
      </c>
      <c r="C54" t="s">
        <v>65</v>
      </c>
      <c r="D54" t="s">
        <v>66</v>
      </c>
      <c r="E54" t="s">
        <v>67</v>
      </c>
      <c r="F54" t="s">
        <v>33</v>
      </c>
      <c r="G54" t="s">
        <v>20</v>
      </c>
      <c r="H54" t="s">
        <v>29</v>
      </c>
      <c r="I54" t="s">
        <v>48</v>
      </c>
      <c r="J54">
        <v>4</v>
      </c>
      <c r="K54">
        <v>10455</v>
      </c>
      <c r="L54">
        <v>20</v>
      </c>
      <c r="M54">
        <v>33456</v>
      </c>
      <c r="N54">
        <v>2748.82</v>
      </c>
      <c r="O54" t="s">
        <v>31</v>
      </c>
    </row>
    <row r="55" spans="1:15" x14ac:dyDescent="0.25">
      <c r="A55" t="s">
        <v>125</v>
      </c>
      <c r="B55" s="1">
        <v>45804</v>
      </c>
      <c r="C55" t="s">
        <v>36</v>
      </c>
      <c r="D55" t="s">
        <v>85</v>
      </c>
      <c r="E55" t="s">
        <v>86</v>
      </c>
      <c r="F55" t="s">
        <v>52</v>
      </c>
      <c r="G55" t="s">
        <v>20</v>
      </c>
      <c r="H55" t="s">
        <v>21</v>
      </c>
      <c r="I55" t="s">
        <v>56</v>
      </c>
      <c r="J55">
        <v>8</v>
      </c>
      <c r="K55">
        <v>60125</v>
      </c>
      <c r="L55">
        <v>15</v>
      </c>
      <c r="M55">
        <v>408850</v>
      </c>
      <c r="N55">
        <v>39675.800000000003</v>
      </c>
      <c r="O55" t="s">
        <v>42</v>
      </c>
    </row>
    <row r="56" spans="1:15" x14ac:dyDescent="0.25">
      <c r="A56" t="s">
        <v>126</v>
      </c>
      <c r="B56" s="1">
        <v>45887</v>
      </c>
      <c r="C56" t="s">
        <v>25</v>
      </c>
      <c r="D56" t="s">
        <v>26</v>
      </c>
      <c r="E56" t="s">
        <v>27</v>
      </c>
      <c r="F56" t="s">
        <v>63</v>
      </c>
      <c r="G56" t="s">
        <v>28</v>
      </c>
      <c r="H56" t="s">
        <v>21</v>
      </c>
      <c r="I56" t="s">
        <v>56</v>
      </c>
      <c r="J56">
        <v>7</v>
      </c>
      <c r="K56">
        <v>79632</v>
      </c>
      <c r="L56">
        <v>15</v>
      </c>
      <c r="M56">
        <v>473810.4</v>
      </c>
      <c r="N56">
        <v>48806.53</v>
      </c>
      <c r="O56" t="s">
        <v>42</v>
      </c>
    </row>
    <row r="57" spans="1:15" x14ac:dyDescent="0.25">
      <c r="A57" t="s">
        <v>127</v>
      </c>
      <c r="B57" s="1">
        <v>45965</v>
      </c>
      <c r="C57" t="s">
        <v>65</v>
      </c>
      <c r="D57" t="s">
        <v>82</v>
      </c>
      <c r="E57" t="s">
        <v>83</v>
      </c>
      <c r="F57" t="s">
        <v>47</v>
      </c>
      <c r="G57" t="s">
        <v>28</v>
      </c>
      <c r="H57" t="s">
        <v>29</v>
      </c>
      <c r="I57" t="s">
        <v>53</v>
      </c>
      <c r="J57">
        <v>9</v>
      </c>
      <c r="K57">
        <v>38583</v>
      </c>
      <c r="L57">
        <v>15</v>
      </c>
      <c r="M57">
        <v>295159.95</v>
      </c>
      <c r="N57">
        <v>51446.67</v>
      </c>
      <c r="O57" t="s">
        <v>23</v>
      </c>
    </row>
    <row r="58" spans="1:15" x14ac:dyDescent="0.25">
      <c r="A58" t="s">
        <v>128</v>
      </c>
      <c r="B58" s="1">
        <v>45787</v>
      </c>
      <c r="C58" t="s">
        <v>65</v>
      </c>
      <c r="D58" t="s">
        <v>66</v>
      </c>
      <c r="E58" t="s">
        <v>67</v>
      </c>
      <c r="F58" t="s">
        <v>39</v>
      </c>
      <c r="G58" t="s">
        <v>20</v>
      </c>
      <c r="H58" t="s">
        <v>77</v>
      </c>
      <c r="I58" t="s">
        <v>100</v>
      </c>
      <c r="J58">
        <v>2</v>
      </c>
      <c r="K58">
        <v>54874</v>
      </c>
      <c r="L58">
        <v>15</v>
      </c>
      <c r="M58">
        <v>93285.8</v>
      </c>
      <c r="N58">
        <v>8612.2800000000007</v>
      </c>
      <c r="O58" t="s">
        <v>42</v>
      </c>
    </row>
    <row r="59" spans="1:15" x14ac:dyDescent="0.25">
      <c r="A59" t="s">
        <v>129</v>
      </c>
      <c r="B59" s="1">
        <v>45660</v>
      </c>
      <c r="C59" t="s">
        <v>25</v>
      </c>
      <c r="D59" t="s">
        <v>26</v>
      </c>
      <c r="E59" t="s">
        <v>27</v>
      </c>
      <c r="F59" t="s">
        <v>19</v>
      </c>
      <c r="G59" t="s">
        <v>20</v>
      </c>
      <c r="H59" t="s">
        <v>77</v>
      </c>
      <c r="I59" t="s">
        <v>100</v>
      </c>
      <c r="J59">
        <v>2</v>
      </c>
      <c r="K59">
        <v>78529</v>
      </c>
      <c r="L59">
        <v>20</v>
      </c>
      <c r="M59">
        <v>125646.39999999999</v>
      </c>
      <c r="N59">
        <v>14011.38</v>
      </c>
      <c r="O59" t="s">
        <v>31</v>
      </c>
    </row>
    <row r="60" spans="1:15" x14ac:dyDescent="0.25">
      <c r="A60" t="s">
        <v>130</v>
      </c>
      <c r="B60" s="1">
        <v>45928</v>
      </c>
      <c r="C60" t="s">
        <v>65</v>
      </c>
      <c r="D60" t="s">
        <v>66</v>
      </c>
      <c r="E60" t="s">
        <v>67</v>
      </c>
      <c r="F60" t="s">
        <v>72</v>
      </c>
      <c r="G60" t="s">
        <v>28</v>
      </c>
      <c r="H60" t="s">
        <v>29</v>
      </c>
      <c r="I60" t="s">
        <v>48</v>
      </c>
      <c r="J60">
        <v>9</v>
      </c>
      <c r="K60">
        <v>706</v>
      </c>
      <c r="L60">
        <v>20</v>
      </c>
      <c r="M60">
        <v>5083.2</v>
      </c>
      <c r="N60">
        <v>900.41</v>
      </c>
      <c r="O60" t="s">
        <v>23</v>
      </c>
    </row>
    <row r="61" spans="1:15" x14ac:dyDescent="0.25">
      <c r="A61" t="s">
        <v>131</v>
      </c>
      <c r="B61" s="1">
        <v>45946</v>
      </c>
      <c r="C61" t="s">
        <v>25</v>
      </c>
      <c r="D61" t="s">
        <v>61</v>
      </c>
      <c r="E61" t="s">
        <v>62</v>
      </c>
      <c r="F61" t="s">
        <v>52</v>
      </c>
      <c r="G61" t="s">
        <v>28</v>
      </c>
      <c r="H61" t="s">
        <v>29</v>
      </c>
      <c r="I61" t="s">
        <v>30</v>
      </c>
      <c r="J61">
        <v>7</v>
      </c>
      <c r="K61">
        <v>20129</v>
      </c>
      <c r="L61">
        <v>20</v>
      </c>
      <c r="M61">
        <v>112722.4</v>
      </c>
      <c r="N61">
        <v>21032.94</v>
      </c>
      <c r="O61" t="s">
        <v>34</v>
      </c>
    </row>
    <row r="62" spans="1:15" x14ac:dyDescent="0.25">
      <c r="A62" t="s">
        <v>132</v>
      </c>
      <c r="B62" s="1">
        <v>45944</v>
      </c>
      <c r="C62" t="s">
        <v>16</v>
      </c>
      <c r="D62" t="s">
        <v>106</v>
      </c>
      <c r="E62" t="s">
        <v>107</v>
      </c>
      <c r="F62" t="s">
        <v>72</v>
      </c>
      <c r="G62" t="s">
        <v>20</v>
      </c>
      <c r="H62" t="s">
        <v>21</v>
      </c>
      <c r="I62" t="s">
        <v>45</v>
      </c>
      <c r="J62">
        <v>3</v>
      </c>
      <c r="K62">
        <v>66807</v>
      </c>
      <c r="L62">
        <v>5</v>
      </c>
      <c r="M62">
        <v>190399.95</v>
      </c>
      <c r="N62">
        <v>38081.97</v>
      </c>
      <c r="O62" t="s">
        <v>31</v>
      </c>
    </row>
    <row r="63" spans="1:15" x14ac:dyDescent="0.25">
      <c r="A63" t="s">
        <v>133</v>
      </c>
      <c r="B63" s="1">
        <v>45819</v>
      </c>
      <c r="C63" t="s">
        <v>36</v>
      </c>
      <c r="D63" t="s">
        <v>50</v>
      </c>
      <c r="E63" t="s">
        <v>51</v>
      </c>
      <c r="F63" t="s">
        <v>52</v>
      </c>
      <c r="G63" t="s">
        <v>28</v>
      </c>
      <c r="H63" t="s">
        <v>68</v>
      </c>
      <c r="I63" t="s">
        <v>90</v>
      </c>
      <c r="J63">
        <v>6</v>
      </c>
      <c r="K63">
        <v>58293</v>
      </c>
      <c r="L63">
        <v>20</v>
      </c>
      <c r="M63">
        <v>279806.40000000002</v>
      </c>
      <c r="N63">
        <v>28431.26</v>
      </c>
      <c r="O63" t="s">
        <v>23</v>
      </c>
    </row>
    <row r="64" spans="1:15" x14ac:dyDescent="0.25">
      <c r="A64" t="s">
        <v>134</v>
      </c>
      <c r="B64" s="1">
        <v>45887</v>
      </c>
      <c r="C64" t="s">
        <v>16</v>
      </c>
      <c r="D64" t="s">
        <v>106</v>
      </c>
      <c r="E64" t="s">
        <v>107</v>
      </c>
      <c r="F64" t="s">
        <v>33</v>
      </c>
      <c r="G64" t="s">
        <v>20</v>
      </c>
      <c r="H64" t="s">
        <v>68</v>
      </c>
      <c r="I64" t="s">
        <v>94</v>
      </c>
      <c r="J64">
        <v>5</v>
      </c>
      <c r="K64">
        <v>66187</v>
      </c>
      <c r="L64">
        <v>20</v>
      </c>
      <c r="M64">
        <v>264748</v>
      </c>
      <c r="N64">
        <v>60492.58</v>
      </c>
      <c r="O64" t="s">
        <v>34</v>
      </c>
    </row>
    <row r="65" spans="1:15" x14ac:dyDescent="0.25">
      <c r="A65" t="s">
        <v>135</v>
      </c>
      <c r="B65" s="1">
        <v>45670</v>
      </c>
      <c r="C65" t="s">
        <v>25</v>
      </c>
      <c r="D65" t="s">
        <v>26</v>
      </c>
      <c r="E65" t="s">
        <v>27</v>
      </c>
      <c r="F65" t="s">
        <v>63</v>
      </c>
      <c r="G65" t="s">
        <v>20</v>
      </c>
      <c r="H65" t="s">
        <v>40</v>
      </c>
      <c r="I65" t="s">
        <v>59</v>
      </c>
      <c r="J65">
        <v>7</v>
      </c>
      <c r="K65">
        <v>26244</v>
      </c>
      <c r="L65">
        <v>20</v>
      </c>
      <c r="M65">
        <v>146966.39999999999</v>
      </c>
      <c r="N65">
        <v>13064.68</v>
      </c>
      <c r="O65" t="s">
        <v>23</v>
      </c>
    </row>
    <row r="66" spans="1:15" x14ac:dyDescent="0.25">
      <c r="A66" t="s">
        <v>136</v>
      </c>
      <c r="B66" s="1">
        <v>45660</v>
      </c>
      <c r="C66" t="s">
        <v>16</v>
      </c>
      <c r="D66" t="s">
        <v>44</v>
      </c>
      <c r="E66" t="s">
        <v>44</v>
      </c>
      <c r="F66" t="s">
        <v>33</v>
      </c>
      <c r="G66" t="s">
        <v>28</v>
      </c>
      <c r="H66" t="s">
        <v>77</v>
      </c>
      <c r="I66" t="s">
        <v>100</v>
      </c>
      <c r="J66">
        <v>7</v>
      </c>
      <c r="K66">
        <v>11965</v>
      </c>
      <c r="L66">
        <v>20</v>
      </c>
      <c r="M66">
        <v>67004</v>
      </c>
      <c r="N66">
        <v>15929.73</v>
      </c>
      <c r="O66" t="s">
        <v>23</v>
      </c>
    </row>
    <row r="67" spans="1:15" x14ac:dyDescent="0.25">
      <c r="A67" t="s">
        <v>137</v>
      </c>
      <c r="B67" s="1">
        <v>45854</v>
      </c>
      <c r="C67" t="s">
        <v>16</v>
      </c>
      <c r="D67" t="s">
        <v>106</v>
      </c>
      <c r="E67" t="s">
        <v>107</v>
      </c>
      <c r="F67" t="s">
        <v>63</v>
      </c>
      <c r="G67" t="s">
        <v>20</v>
      </c>
      <c r="H67" t="s">
        <v>68</v>
      </c>
      <c r="I67" t="s">
        <v>90</v>
      </c>
      <c r="J67">
        <v>10</v>
      </c>
      <c r="K67">
        <v>53317</v>
      </c>
      <c r="L67">
        <v>15</v>
      </c>
      <c r="M67">
        <v>453194.5</v>
      </c>
      <c r="N67">
        <v>79991.86</v>
      </c>
      <c r="O67" t="s">
        <v>31</v>
      </c>
    </row>
    <row r="68" spans="1:15" x14ac:dyDescent="0.25">
      <c r="A68" t="s">
        <v>138</v>
      </c>
      <c r="B68" s="1">
        <v>46018</v>
      </c>
      <c r="C68" t="s">
        <v>65</v>
      </c>
      <c r="D68" t="s">
        <v>66</v>
      </c>
      <c r="E68" t="s">
        <v>67</v>
      </c>
      <c r="F68" t="s">
        <v>47</v>
      </c>
      <c r="G68" t="s">
        <v>20</v>
      </c>
      <c r="H68" t="s">
        <v>40</v>
      </c>
      <c r="I68" t="s">
        <v>80</v>
      </c>
      <c r="J68">
        <v>10</v>
      </c>
      <c r="K68">
        <v>32457</v>
      </c>
      <c r="L68">
        <v>0</v>
      </c>
      <c r="M68">
        <v>324570</v>
      </c>
      <c r="N68">
        <v>33399.69</v>
      </c>
      <c r="O68" t="s">
        <v>31</v>
      </c>
    </row>
    <row r="69" spans="1:15" x14ac:dyDescent="0.25">
      <c r="A69" t="s">
        <v>139</v>
      </c>
      <c r="B69" s="1">
        <v>45800</v>
      </c>
      <c r="C69" t="s">
        <v>16</v>
      </c>
      <c r="D69" t="s">
        <v>44</v>
      </c>
      <c r="E69" t="s">
        <v>44</v>
      </c>
      <c r="F69" t="s">
        <v>19</v>
      </c>
      <c r="G69" t="s">
        <v>28</v>
      </c>
      <c r="H69" t="s">
        <v>68</v>
      </c>
      <c r="I69" t="s">
        <v>90</v>
      </c>
      <c r="J69">
        <v>1</v>
      </c>
      <c r="K69">
        <v>62366</v>
      </c>
      <c r="L69">
        <v>20</v>
      </c>
      <c r="M69">
        <v>49892.800000000003</v>
      </c>
      <c r="N69">
        <v>6896.04</v>
      </c>
      <c r="O69" t="s">
        <v>31</v>
      </c>
    </row>
    <row r="70" spans="1:15" x14ac:dyDescent="0.25">
      <c r="A70" t="s">
        <v>140</v>
      </c>
      <c r="B70" s="1">
        <v>45681</v>
      </c>
      <c r="C70" t="s">
        <v>16</v>
      </c>
      <c r="D70" t="s">
        <v>17</v>
      </c>
      <c r="E70" t="s">
        <v>18</v>
      </c>
      <c r="F70" t="s">
        <v>72</v>
      </c>
      <c r="G70" t="s">
        <v>20</v>
      </c>
      <c r="H70" t="s">
        <v>29</v>
      </c>
      <c r="I70" t="s">
        <v>48</v>
      </c>
      <c r="J70">
        <v>4</v>
      </c>
      <c r="K70">
        <v>19851</v>
      </c>
      <c r="L70">
        <v>0</v>
      </c>
      <c r="M70">
        <v>79404</v>
      </c>
      <c r="N70">
        <v>12704.55</v>
      </c>
      <c r="O70" t="s">
        <v>42</v>
      </c>
    </row>
    <row r="71" spans="1:15" x14ac:dyDescent="0.25">
      <c r="A71" t="s">
        <v>141</v>
      </c>
      <c r="B71" s="1">
        <v>45982</v>
      </c>
      <c r="C71" t="s">
        <v>65</v>
      </c>
      <c r="D71" t="s">
        <v>66</v>
      </c>
      <c r="E71" t="s">
        <v>67</v>
      </c>
      <c r="F71" t="s">
        <v>93</v>
      </c>
      <c r="G71" t="s">
        <v>20</v>
      </c>
      <c r="H71" t="s">
        <v>21</v>
      </c>
      <c r="I71" t="s">
        <v>56</v>
      </c>
      <c r="J71">
        <v>8</v>
      </c>
      <c r="K71">
        <v>41034</v>
      </c>
      <c r="L71">
        <v>15</v>
      </c>
      <c r="M71">
        <v>279031.2</v>
      </c>
      <c r="N71">
        <v>36582.85</v>
      </c>
      <c r="O71" t="s">
        <v>23</v>
      </c>
    </row>
    <row r="72" spans="1:15" x14ac:dyDescent="0.25">
      <c r="A72" t="s">
        <v>142</v>
      </c>
      <c r="B72" s="1">
        <v>45795</v>
      </c>
      <c r="C72" t="s">
        <v>36</v>
      </c>
      <c r="D72" t="s">
        <v>37</v>
      </c>
      <c r="E72" t="s">
        <v>38</v>
      </c>
      <c r="F72" t="s">
        <v>39</v>
      </c>
      <c r="G72" t="s">
        <v>20</v>
      </c>
      <c r="H72" t="s">
        <v>29</v>
      </c>
      <c r="I72" t="s">
        <v>53</v>
      </c>
      <c r="J72">
        <v>1</v>
      </c>
      <c r="K72">
        <v>12652</v>
      </c>
      <c r="L72">
        <v>0</v>
      </c>
      <c r="M72">
        <v>12652</v>
      </c>
      <c r="N72">
        <v>1916.72</v>
      </c>
      <c r="O72" t="s">
        <v>23</v>
      </c>
    </row>
    <row r="73" spans="1:15" x14ac:dyDescent="0.25">
      <c r="A73" t="s">
        <v>143</v>
      </c>
      <c r="B73" s="1">
        <v>45743</v>
      </c>
      <c r="C73" t="s">
        <v>65</v>
      </c>
      <c r="D73" t="s">
        <v>82</v>
      </c>
      <c r="E73" t="s">
        <v>83</v>
      </c>
      <c r="F73" t="s">
        <v>93</v>
      </c>
      <c r="G73" t="s">
        <v>20</v>
      </c>
      <c r="H73" t="s">
        <v>21</v>
      </c>
      <c r="I73" t="s">
        <v>56</v>
      </c>
      <c r="J73">
        <v>4</v>
      </c>
      <c r="K73">
        <v>39371</v>
      </c>
      <c r="L73">
        <v>20</v>
      </c>
      <c r="M73">
        <v>125987.2</v>
      </c>
      <c r="N73">
        <v>29072.03</v>
      </c>
      <c r="O73" t="s">
        <v>23</v>
      </c>
    </row>
    <row r="74" spans="1:15" x14ac:dyDescent="0.25">
      <c r="A74" t="s">
        <v>144</v>
      </c>
      <c r="B74" s="1">
        <v>45927</v>
      </c>
      <c r="C74" t="s">
        <v>16</v>
      </c>
      <c r="D74" t="s">
        <v>17</v>
      </c>
      <c r="E74" t="s">
        <v>18</v>
      </c>
      <c r="F74" t="s">
        <v>19</v>
      </c>
      <c r="G74" t="s">
        <v>20</v>
      </c>
      <c r="H74" t="s">
        <v>29</v>
      </c>
      <c r="I74" t="s">
        <v>48</v>
      </c>
      <c r="J74">
        <v>1</v>
      </c>
      <c r="K74">
        <v>23826</v>
      </c>
      <c r="L74">
        <v>0</v>
      </c>
      <c r="M74">
        <v>23826</v>
      </c>
      <c r="N74">
        <v>3051.16</v>
      </c>
      <c r="O74" t="s">
        <v>23</v>
      </c>
    </row>
    <row r="75" spans="1:15" x14ac:dyDescent="0.25">
      <c r="A75" t="s">
        <v>145</v>
      </c>
      <c r="B75" s="1">
        <v>45900</v>
      </c>
      <c r="C75" t="s">
        <v>65</v>
      </c>
      <c r="D75" t="s">
        <v>66</v>
      </c>
      <c r="E75" t="s">
        <v>67</v>
      </c>
      <c r="F75" t="s">
        <v>33</v>
      </c>
      <c r="G75" t="s">
        <v>20</v>
      </c>
      <c r="H75" t="s">
        <v>29</v>
      </c>
      <c r="I75" t="s">
        <v>48</v>
      </c>
      <c r="J75">
        <v>5</v>
      </c>
      <c r="K75">
        <v>6743</v>
      </c>
      <c r="L75">
        <v>20</v>
      </c>
      <c r="M75">
        <v>26972</v>
      </c>
      <c r="N75">
        <v>3678.3</v>
      </c>
      <c r="O75" t="s">
        <v>23</v>
      </c>
    </row>
    <row r="76" spans="1:15" x14ac:dyDescent="0.25">
      <c r="A76" t="s">
        <v>146</v>
      </c>
      <c r="B76" s="1">
        <v>45790</v>
      </c>
      <c r="C76" t="s">
        <v>16</v>
      </c>
      <c r="D76" t="s">
        <v>17</v>
      </c>
      <c r="E76" t="s">
        <v>18</v>
      </c>
      <c r="F76" t="s">
        <v>93</v>
      </c>
      <c r="G76" t="s">
        <v>20</v>
      </c>
      <c r="H76" t="s">
        <v>77</v>
      </c>
      <c r="I76" t="s">
        <v>78</v>
      </c>
      <c r="J76">
        <v>5</v>
      </c>
      <c r="K76">
        <v>62672</v>
      </c>
      <c r="L76">
        <v>5</v>
      </c>
      <c r="M76">
        <v>297692</v>
      </c>
      <c r="N76">
        <v>28744.7</v>
      </c>
      <c r="O76" t="s">
        <v>42</v>
      </c>
    </row>
    <row r="77" spans="1:15" x14ac:dyDescent="0.25">
      <c r="A77" t="s">
        <v>147</v>
      </c>
      <c r="B77" s="1">
        <v>45791</v>
      </c>
      <c r="C77" t="s">
        <v>65</v>
      </c>
      <c r="D77" t="s">
        <v>82</v>
      </c>
      <c r="E77" t="s">
        <v>83</v>
      </c>
      <c r="F77" t="s">
        <v>19</v>
      </c>
      <c r="G77" t="s">
        <v>20</v>
      </c>
      <c r="H77" t="s">
        <v>40</v>
      </c>
      <c r="I77" t="s">
        <v>59</v>
      </c>
      <c r="J77">
        <v>10</v>
      </c>
      <c r="K77">
        <v>70981</v>
      </c>
      <c r="L77">
        <v>20</v>
      </c>
      <c r="M77">
        <v>567848</v>
      </c>
      <c r="N77">
        <v>55644.72</v>
      </c>
      <c r="O77" t="s">
        <v>31</v>
      </c>
    </row>
    <row r="78" spans="1:15" x14ac:dyDescent="0.25">
      <c r="A78" t="s">
        <v>148</v>
      </c>
      <c r="B78" s="1">
        <v>45754</v>
      </c>
      <c r="C78" t="s">
        <v>65</v>
      </c>
      <c r="D78" t="s">
        <v>82</v>
      </c>
      <c r="E78" t="s">
        <v>83</v>
      </c>
      <c r="F78" t="s">
        <v>63</v>
      </c>
      <c r="G78" t="s">
        <v>28</v>
      </c>
      <c r="H78" t="s">
        <v>29</v>
      </c>
      <c r="I78" t="s">
        <v>53</v>
      </c>
      <c r="J78">
        <v>10</v>
      </c>
      <c r="K78">
        <v>48189</v>
      </c>
      <c r="L78">
        <v>10</v>
      </c>
      <c r="M78">
        <v>433701</v>
      </c>
      <c r="N78">
        <v>95457.91</v>
      </c>
      <c r="O78" t="s">
        <v>31</v>
      </c>
    </row>
    <row r="79" spans="1:15" x14ac:dyDescent="0.25">
      <c r="A79" t="s">
        <v>149</v>
      </c>
      <c r="B79" s="1">
        <v>45883</v>
      </c>
      <c r="C79" t="s">
        <v>36</v>
      </c>
      <c r="D79" t="s">
        <v>37</v>
      </c>
      <c r="E79" t="s">
        <v>38</v>
      </c>
      <c r="F79" t="s">
        <v>72</v>
      </c>
      <c r="G79" t="s">
        <v>20</v>
      </c>
      <c r="H79" t="s">
        <v>40</v>
      </c>
      <c r="I79" t="s">
        <v>41</v>
      </c>
      <c r="J79">
        <v>8</v>
      </c>
      <c r="K79">
        <v>68856</v>
      </c>
      <c r="L79">
        <v>5</v>
      </c>
      <c r="M79">
        <v>523305.6</v>
      </c>
      <c r="N79">
        <v>104539.5</v>
      </c>
      <c r="O79" t="s">
        <v>34</v>
      </c>
    </row>
    <row r="80" spans="1:15" x14ac:dyDescent="0.25">
      <c r="A80" t="s">
        <v>150</v>
      </c>
      <c r="B80" s="1">
        <v>45735</v>
      </c>
      <c r="C80" t="s">
        <v>16</v>
      </c>
      <c r="D80" t="s">
        <v>17</v>
      </c>
      <c r="E80" t="s">
        <v>18</v>
      </c>
      <c r="F80" t="s">
        <v>72</v>
      </c>
      <c r="G80" t="s">
        <v>20</v>
      </c>
      <c r="H80" t="s">
        <v>68</v>
      </c>
      <c r="I80" t="s">
        <v>69</v>
      </c>
      <c r="J80">
        <v>8</v>
      </c>
      <c r="K80">
        <v>70469</v>
      </c>
      <c r="L80">
        <v>5</v>
      </c>
      <c r="M80">
        <v>535564.4</v>
      </c>
      <c r="N80">
        <v>118013.48</v>
      </c>
      <c r="O80" t="s">
        <v>34</v>
      </c>
    </row>
    <row r="81" spans="1:15" x14ac:dyDescent="0.25">
      <c r="A81" t="s">
        <v>151</v>
      </c>
      <c r="B81" s="1">
        <v>45949</v>
      </c>
      <c r="C81" t="s">
        <v>16</v>
      </c>
      <c r="D81" t="s">
        <v>17</v>
      </c>
      <c r="E81" t="s">
        <v>18</v>
      </c>
      <c r="F81" t="s">
        <v>39</v>
      </c>
      <c r="G81" t="s">
        <v>28</v>
      </c>
      <c r="H81" t="s">
        <v>68</v>
      </c>
      <c r="I81" t="s">
        <v>90</v>
      </c>
      <c r="J81">
        <v>8</v>
      </c>
      <c r="K81">
        <v>6625</v>
      </c>
      <c r="L81">
        <v>0</v>
      </c>
      <c r="M81">
        <v>53000</v>
      </c>
      <c r="N81">
        <v>5401.02</v>
      </c>
      <c r="O81" t="s">
        <v>34</v>
      </c>
    </row>
    <row r="82" spans="1:15" x14ac:dyDescent="0.25">
      <c r="A82" t="s">
        <v>152</v>
      </c>
      <c r="B82" s="1">
        <v>45967</v>
      </c>
      <c r="C82" t="s">
        <v>25</v>
      </c>
      <c r="D82" t="s">
        <v>26</v>
      </c>
      <c r="E82" t="s">
        <v>27</v>
      </c>
      <c r="F82" t="s">
        <v>63</v>
      </c>
      <c r="G82" t="s">
        <v>20</v>
      </c>
      <c r="H82" t="s">
        <v>29</v>
      </c>
      <c r="I82" t="s">
        <v>30</v>
      </c>
      <c r="J82">
        <v>10</v>
      </c>
      <c r="K82">
        <v>46570</v>
      </c>
      <c r="L82">
        <v>15</v>
      </c>
      <c r="M82">
        <v>395845</v>
      </c>
      <c r="N82">
        <v>54674.77</v>
      </c>
      <c r="O82" t="s">
        <v>31</v>
      </c>
    </row>
    <row r="83" spans="1:15" x14ac:dyDescent="0.25">
      <c r="A83" t="s">
        <v>153</v>
      </c>
      <c r="B83" s="1">
        <v>45955</v>
      </c>
      <c r="C83" t="s">
        <v>16</v>
      </c>
      <c r="D83" t="s">
        <v>17</v>
      </c>
      <c r="E83" t="s">
        <v>18</v>
      </c>
      <c r="F83" t="s">
        <v>63</v>
      </c>
      <c r="G83" t="s">
        <v>20</v>
      </c>
      <c r="H83" t="s">
        <v>40</v>
      </c>
      <c r="I83" t="s">
        <v>80</v>
      </c>
      <c r="J83">
        <v>6</v>
      </c>
      <c r="K83">
        <v>37352</v>
      </c>
      <c r="L83">
        <v>5</v>
      </c>
      <c r="M83">
        <v>212906.4</v>
      </c>
      <c r="N83">
        <v>42419.08</v>
      </c>
      <c r="O83" t="s">
        <v>31</v>
      </c>
    </row>
    <row r="84" spans="1:15" x14ac:dyDescent="0.25">
      <c r="A84" t="s">
        <v>154</v>
      </c>
      <c r="B84" s="1">
        <v>45948</v>
      </c>
      <c r="C84" t="s">
        <v>16</v>
      </c>
      <c r="D84" t="s">
        <v>44</v>
      </c>
      <c r="E84" t="s">
        <v>44</v>
      </c>
      <c r="F84" t="s">
        <v>93</v>
      </c>
      <c r="G84" t="s">
        <v>20</v>
      </c>
      <c r="H84" t="s">
        <v>29</v>
      </c>
      <c r="I84" t="s">
        <v>48</v>
      </c>
      <c r="J84">
        <v>8</v>
      </c>
      <c r="K84">
        <v>68882</v>
      </c>
      <c r="L84">
        <v>5</v>
      </c>
      <c r="M84">
        <v>523503.2</v>
      </c>
      <c r="N84">
        <v>94674.49</v>
      </c>
      <c r="O84" t="s">
        <v>42</v>
      </c>
    </row>
    <row r="85" spans="1:15" x14ac:dyDescent="0.25">
      <c r="A85" t="s">
        <v>155</v>
      </c>
      <c r="B85" s="1">
        <v>45794</v>
      </c>
      <c r="C85" t="s">
        <v>65</v>
      </c>
      <c r="D85" t="s">
        <v>66</v>
      </c>
      <c r="E85" t="s">
        <v>67</v>
      </c>
      <c r="F85" t="s">
        <v>39</v>
      </c>
      <c r="G85" t="s">
        <v>20</v>
      </c>
      <c r="H85" t="s">
        <v>40</v>
      </c>
      <c r="I85" t="s">
        <v>59</v>
      </c>
      <c r="J85">
        <v>7</v>
      </c>
      <c r="K85">
        <v>22243</v>
      </c>
      <c r="L85">
        <v>5</v>
      </c>
      <c r="M85">
        <v>147915.95000000001</v>
      </c>
      <c r="N85">
        <v>16871.5</v>
      </c>
      <c r="O85" t="s">
        <v>23</v>
      </c>
    </row>
    <row r="86" spans="1:15" x14ac:dyDescent="0.25">
      <c r="A86" t="s">
        <v>156</v>
      </c>
      <c r="B86" s="1">
        <v>45975</v>
      </c>
      <c r="C86" t="s">
        <v>16</v>
      </c>
      <c r="D86" t="s">
        <v>44</v>
      </c>
      <c r="E86" t="s">
        <v>44</v>
      </c>
      <c r="F86" t="s">
        <v>52</v>
      </c>
      <c r="G86" t="s">
        <v>20</v>
      </c>
      <c r="H86" t="s">
        <v>40</v>
      </c>
      <c r="I86" t="s">
        <v>59</v>
      </c>
      <c r="J86">
        <v>1</v>
      </c>
      <c r="K86">
        <v>14360</v>
      </c>
      <c r="L86">
        <v>5</v>
      </c>
      <c r="M86">
        <v>13642</v>
      </c>
      <c r="N86">
        <v>1201.5</v>
      </c>
      <c r="O86" t="s">
        <v>31</v>
      </c>
    </row>
    <row r="87" spans="1:15" x14ac:dyDescent="0.25">
      <c r="A87" t="s">
        <v>157</v>
      </c>
      <c r="B87" s="1">
        <v>45803</v>
      </c>
      <c r="C87" t="s">
        <v>65</v>
      </c>
      <c r="D87" t="s">
        <v>82</v>
      </c>
      <c r="E87" t="s">
        <v>83</v>
      </c>
      <c r="F87" t="s">
        <v>33</v>
      </c>
      <c r="G87" t="s">
        <v>20</v>
      </c>
      <c r="H87" t="s">
        <v>29</v>
      </c>
      <c r="I87" t="s">
        <v>30</v>
      </c>
      <c r="J87">
        <v>8</v>
      </c>
      <c r="K87">
        <v>55059</v>
      </c>
      <c r="L87">
        <v>10</v>
      </c>
      <c r="M87">
        <v>396424.8</v>
      </c>
      <c r="N87">
        <v>38963.89</v>
      </c>
      <c r="O87" t="s">
        <v>34</v>
      </c>
    </row>
    <row r="88" spans="1:15" x14ac:dyDescent="0.25">
      <c r="A88" t="s">
        <v>158</v>
      </c>
      <c r="B88" s="1">
        <v>45730</v>
      </c>
      <c r="C88" t="s">
        <v>16</v>
      </c>
      <c r="D88" t="s">
        <v>17</v>
      </c>
      <c r="E88" t="s">
        <v>18</v>
      </c>
      <c r="F88" t="s">
        <v>93</v>
      </c>
      <c r="G88" t="s">
        <v>28</v>
      </c>
      <c r="H88" t="s">
        <v>68</v>
      </c>
      <c r="I88" t="s">
        <v>90</v>
      </c>
      <c r="J88">
        <v>8</v>
      </c>
      <c r="K88">
        <v>24805</v>
      </c>
      <c r="L88">
        <v>20</v>
      </c>
      <c r="M88">
        <v>158752</v>
      </c>
      <c r="N88">
        <v>39160.239999999998</v>
      </c>
      <c r="O88" t="s">
        <v>31</v>
      </c>
    </row>
    <row r="89" spans="1:15" x14ac:dyDescent="0.25">
      <c r="A89" t="s">
        <v>159</v>
      </c>
      <c r="B89" s="1">
        <v>45713</v>
      </c>
      <c r="C89" t="s">
        <v>65</v>
      </c>
      <c r="D89" t="s">
        <v>66</v>
      </c>
      <c r="E89" t="s">
        <v>67</v>
      </c>
      <c r="F89" t="s">
        <v>72</v>
      </c>
      <c r="G89" t="s">
        <v>20</v>
      </c>
      <c r="H89" t="s">
        <v>77</v>
      </c>
      <c r="I89" t="s">
        <v>78</v>
      </c>
      <c r="J89">
        <v>1</v>
      </c>
      <c r="K89">
        <v>56133</v>
      </c>
      <c r="L89">
        <v>15</v>
      </c>
      <c r="M89">
        <v>47713.05</v>
      </c>
      <c r="N89">
        <v>5964.89</v>
      </c>
      <c r="O89" t="s">
        <v>23</v>
      </c>
    </row>
    <row r="90" spans="1:15" x14ac:dyDescent="0.25">
      <c r="A90" t="s">
        <v>160</v>
      </c>
      <c r="B90" s="1">
        <v>45939</v>
      </c>
      <c r="C90" t="s">
        <v>16</v>
      </c>
      <c r="D90" t="s">
        <v>106</v>
      </c>
      <c r="E90" t="s">
        <v>107</v>
      </c>
      <c r="F90" t="s">
        <v>72</v>
      </c>
      <c r="G90" t="s">
        <v>20</v>
      </c>
      <c r="H90" t="s">
        <v>68</v>
      </c>
      <c r="I90" t="s">
        <v>90</v>
      </c>
      <c r="J90">
        <v>6</v>
      </c>
      <c r="K90">
        <v>46647</v>
      </c>
      <c r="L90">
        <v>20</v>
      </c>
      <c r="M90">
        <v>223905.6</v>
      </c>
      <c r="N90">
        <v>43687.360000000001</v>
      </c>
      <c r="O90" t="s">
        <v>34</v>
      </c>
    </row>
    <row r="91" spans="1:15" x14ac:dyDescent="0.25">
      <c r="A91" t="s">
        <v>161</v>
      </c>
      <c r="B91" s="1">
        <v>45967</v>
      </c>
      <c r="C91" t="s">
        <v>16</v>
      </c>
      <c r="D91" t="s">
        <v>106</v>
      </c>
      <c r="E91" t="s">
        <v>107</v>
      </c>
      <c r="F91" t="s">
        <v>33</v>
      </c>
      <c r="G91" t="s">
        <v>28</v>
      </c>
      <c r="H91" t="s">
        <v>29</v>
      </c>
      <c r="I91" t="s">
        <v>30</v>
      </c>
      <c r="J91">
        <v>1</v>
      </c>
      <c r="K91">
        <v>38241</v>
      </c>
      <c r="L91">
        <v>15</v>
      </c>
      <c r="M91">
        <v>32504.85</v>
      </c>
      <c r="N91">
        <v>4108.5200000000004</v>
      </c>
      <c r="O91" t="s">
        <v>23</v>
      </c>
    </row>
    <row r="92" spans="1:15" x14ac:dyDescent="0.25">
      <c r="A92" t="s">
        <v>162</v>
      </c>
      <c r="B92" s="1">
        <v>45938</v>
      </c>
      <c r="C92" t="s">
        <v>25</v>
      </c>
      <c r="D92" t="s">
        <v>61</v>
      </c>
      <c r="E92" t="s">
        <v>62</v>
      </c>
      <c r="F92" t="s">
        <v>52</v>
      </c>
      <c r="G92" t="s">
        <v>20</v>
      </c>
      <c r="H92" t="s">
        <v>77</v>
      </c>
      <c r="I92" t="s">
        <v>88</v>
      </c>
      <c r="J92">
        <v>8</v>
      </c>
      <c r="K92">
        <v>66411</v>
      </c>
      <c r="L92">
        <v>15</v>
      </c>
      <c r="M92">
        <v>451594.8</v>
      </c>
      <c r="N92">
        <v>81353.919999999998</v>
      </c>
      <c r="O92" t="s">
        <v>34</v>
      </c>
    </row>
    <row r="93" spans="1:15" x14ac:dyDescent="0.25">
      <c r="A93" t="s">
        <v>163</v>
      </c>
      <c r="B93" s="1">
        <v>46004</v>
      </c>
      <c r="C93" t="s">
        <v>25</v>
      </c>
      <c r="D93" t="s">
        <v>61</v>
      </c>
      <c r="E93" t="s">
        <v>62</v>
      </c>
      <c r="F93" t="s">
        <v>52</v>
      </c>
      <c r="G93" t="s">
        <v>20</v>
      </c>
      <c r="H93" t="s">
        <v>21</v>
      </c>
      <c r="I93" t="s">
        <v>22</v>
      </c>
      <c r="J93">
        <v>1</v>
      </c>
      <c r="K93">
        <v>26647</v>
      </c>
      <c r="L93">
        <v>15</v>
      </c>
      <c r="M93">
        <v>22649.95</v>
      </c>
      <c r="N93">
        <v>2937.25</v>
      </c>
      <c r="O93" t="s">
        <v>23</v>
      </c>
    </row>
    <row r="94" spans="1:15" x14ac:dyDescent="0.25">
      <c r="A94" t="s">
        <v>164</v>
      </c>
      <c r="B94" s="1">
        <v>45905</v>
      </c>
      <c r="C94" t="s">
        <v>16</v>
      </c>
      <c r="D94" t="s">
        <v>17</v>
      </c>
      <c r="E94" t="s">
        <v>18</v>
      </c>
      <c r="F94" t="s">
        <v>39</v>
      </c>
      <c r="G94" t="s">
        <v>28</v>
      </c>
      <c r="H94" t="s">
        <v>40</v>
      </c>
      <c r="I94" t="s">
        <v>80</v>
      </c>
      <c r="J94">
        <v>2</v>
      </c>
      <c r="K94">
        <v>8414</v>
      </c>
      <c r="L94">
        <v>5</v>
      </c>
      <c r="M94">
        <v>15986.6</v>
      </c>
      <c r="N94">
        <v>2457.59</v>
      </c>
      <c r="O94" t="s">
        <v>42</v>
      </c>
    </row>
    <row r="95" spans="1:15" x14ac:dyDescent="0.25">
      <c r="A95" t="s">
        <v>165</v>
      </c>
      <c r="B95" s="1">
        <v>45808</v>
      </c>
      <c r="C95" t="s">
        <v>25</v>
      </c>
      <c r="D95" t="s">
        <v>61</v>
      </c>
      <c r="E95" t="s">
        <v>62</v>
      </c>
      <c r="F95" t="s">
        <v>33</v>
      </c>
      <c r="G95" t="s">
        <v>28</v>
      </c>
      <c r="H95" t="s">
        <v>68</v>
      </c>
      <c r="I95" t="s">
        <v>90</v>
      </c>
      <c r="J95">
        <v>1</v>
      </c>
      <c r="K95">
        <v>40638</v>
      </c>
      <c r="L95">
        <v>0</v>
      </c>
      <c r="M95">
        <v>40638</v>
      </c>
      <c r="N95">
        <v>7619</v>
      </c>
      <c r="O95" t="s">
        <v>34</v>
      </c>
    </row>
    <row r="96" spans="1:15" x14ac:dyDescent="0.25">
      <c r="A96" t="s">
        <v>166</v>
      </c>
      <c r="B96" s="1">
        <v>45664</v>
      </c>
      <c r="C96" t="s">
        <v>36</v>
      </c>
      <c r="D96" t="s">
        <v>50</v>
      </c>
      <c r="E96" t="s">
        <v>51</v>
      </c>
      <c r="F96" t="s">
        <v>72</v>
      </c>
      <c r="G96" t="s">
        <v>20</v>
      </c>
      <c r="H96" t="s">
        <v>68</v>
      </c>
      <c r="I96" t="s">
        <v>90</v>
      </c>
      <c r="J96">
        <v>4</v>
      </c>
      <c r="K96">
        <v>22597</v>
      </c>
      <c r="L96">
        <v>0</v>
      </c>
      <c r="M96">
        <v>90388</v>
      </c>
      <c r="N96">
        <v>9177.27</v>
      </c>
      <c r="O96" t="s">
        <v>23</v>
      </c>
    </row>
    <row r="97" spans="1:15" x14ac:dyDescent="0.25">
      <c r="A97" t="s">
        <v>167</v>
      </c>
      <c r="B97" s="1">
        <v>45784</v>
      </c>
      <c r="C97" t="s">
        <v>25</v>
      </c>
      <c r="D97" t="s">
        <v>61</v>
      </c>
      <c r="E97" t="s">
        <v>62</v>
      </c>
      <c r="F97" t="s">
        <v>93</v>
      </c>
      <c r="G97" t="s">
        <v>28</v>
      </c>
      <c r="H97" t="s">
        <v>68</v>
      </c>
      <c r="I97" t="s">
        <v>69</v>
      </c>
      <c r="J97">
        <v>8</v>
      </c>
      <c r="K97">
        <v>49440</v>
      </c>
      <c r="L97">
        <v>10</v>
      </c>
      <c r="M97">
        <v>355968</v>
      </c>
      <c r="N97">
        <v>33071.03</v>
      </c>
      <c r="O97" t="s">
        <v>34</v>
      </c>
    </row>
    <row r="98" spans="1:15" x14ac:dyDescent="0.25">
      <c r="A98" t="s">
        <v>168</v>
      </c>
      <c r="B98" s="1">
        <v>45844</v>
      </c>
      <c r="C98" t="s">
        <v>65</v>
      </c>
      <c r="D98" t="s">
        <v>66</v>
      </c>
      <c r="E98" t="s">
        <v>67</v>
      </c>
      <c r="F98" t="s">
        <v>39</v>
      </c>
      <c r="G98" t="s">
        <v>28</v>
      </c>
      <c r="H98" t="s">
        <v>68</v>
      </c>
      <c r="I98" t="s">
        <v>90</v>
      </c>
      <c r="J98">
        <v>7</v>
      </c>
      <c r="K98">
        <v>65033</v>
      </c>
      <c r="L98">
        <v>20</v>
      </c>
      <c r="M98">
        <v>364184.8</v>
      </c>
      <c r="N98">
        <v>29542.720000000001</v>
      </c>
      <c r="O98" t="s">
        <v>42</v>
      </c>
    </row>
    <row r="99" spans="1:15" x14ac:dyDescent="0.25">
      <c r="A99" t="s">
        <v>169</v>
      </c>
      <c r="B99" s="1">
        <v>45726</v>
      </c>
      <c r="C99" t="s">
        <v>36</v>
      </c>
      <c r="D99" t="s">
        <v>85</v>
      </c>
      <c r="E99" t="s">
        <v>86</v>
      </c>
      <c r="F99" t="s">
        <v>39</v>
      </c>
      <c r="G99" t="s">
        <v>28</v>
      </c>
      <c r="H99" t="s">
        <v>29</v>
      </c>
      <c r="I99" t="s">
        <v>53</v>
      </c>
      <c r="J99">
        <v>2</v>
      </c>
      <c r="K99">
        <v>6107</v>
      </c>
      <c r="L99">
        <v>10</v>
      </c>
      <c r="M99">
        <v>10992.6</v>
      </c>
      <c r="N99">
        <v>2456.33</v>
      </c>
      <c r="O99" t="s">
        <v>31</v>
      </c>
    </row>
    <row r="100" spans="1:15" x14ac:dyDescent="0.25">
      <c r="A100" t="s">
        <v>170</v>
      </c>
      <c r="B100" s="1">
        <v>45972</v>
      </c>
      <c r="C100" t="s">
        <v>25</v>
      </c>
      <c r="D100" t="s">
        <v>26</v>
      </c>
      <c r="E100" t="s">
        <v>27</v>
      </c>
      <c r="F100" t="s">
        <v>52</v>
      </c>
      <c r="G100" t="s">
        <v>28</v>
      </c>
      <c r="H100" t="s">
        <v>29</v>
      </c>
      <c r="I100" t="s">
        <v>53</v>
      </c>
      <c r="J100">
        <v>7</v>
      </c>
      <c r="K100">
        <v>7998</v>
      </c>
      <c r="L100">
        <v>5</v>
      </c>
      <c r="M100">
        <v>53186.7</v>
      </c>
      <c r="N100">
        <v>9834.52</v>
      </c>
      <c r="O100" t="s">
        <v>34</v>
      </c>
    </row>
    <row r="101" spans="1:15" x14ac:dyDescent="0.25">
      <c r="A101" t="s">
        <v>171</v>
      </c>
      <c r="B101" s="1">
        <v>45831</v>
      </c>
      <c r="C101" t="s">
        <v>16</v>
      </c>
      <c r="D101" t="s">
        <v>17</v>
      </c>
      <c r="E101" t="s">
        <v>18</v>
      </c>
      <c r="F101" t="s">
        <v>72</v>
      </c>
      <c r="G101" t="s">
        <v>20</v>
      </c>
      <c r="H101" t="s">
        <v>68</v>
      </c>
      <c r="I101" t="s">
        <v>90</v>
      </c>
      <c r="J101">
        <v>10</v>
      </c>
      <c r="K101">
        <v>50951</v>
      </c>
      <c r="L101">
        <v>0</v>
      </c>
      <c r="M101">
        <v>509510</v>
      </c>
      <c r="N101">
        <v>59574.21</v>
      </c>
      <c r="O101" t="s">
        <v>23</v>
      </c>
    </row>
    <row r="102" spans="1:15" x14ac:dyDescent="0.25">
      <c r="A102" t="s">
        <v>172</v>
      </c>
      <c r="B102" s="1">
        <v>45929</v>
      </c>
      <c r="C102" t="s">
        <v>65</v>
      </c>
      <c r="D102" t="s">
        <v>66</v>
      </c>
      <c r="E102" t="s">
        <v>67</v>
      </c>
      <c r="F102" t="s">
        <v>52</v>
      </c>
      <c r="G102" t="s">
        <v>28</v>
      </c>
      <c r="H102" t="s">
        <v>29</v>
      </c>
      <c r="I102" t="s">
        <v>48</v>
      </c>
      <c r="J102">
        <v>7</v>
      </c>
      <c r="K102">
        <v>14290</v>
      </c>
      <c r="L102">
        <v>15</v>
      </c>
      <c r="M102">
        <v>85025.5</v>
      </c>
      <c r="N102">
        <v>17749.52</v>
      </c>
      <c r="O102" t="s">
        <v>23</v>
      </c>
    </row>
    <row r="103" spans="1:15" x14ac:dyDescent="0.25">
      <c r="A103" t="s">
        <v>173</v>
      </c>
      <c r="B103" s="1">
        <v>45996</v>
      </c>
      <c r="C103" t="s">
        <v>25</v>
      </c>
      <c r="D103" t="s">
        <v>61</v>
      </c>
      <c r="E103" t="s">
        <v>62</v>
      </c>
      <c r="F103" t="s">
        <v>47</v>
      </c>
      <c r="G103" t="s">
        <v>28</v>
      </c>
      <c r="H103" t="s">
        <v>29</v>
      </c>
      <c r="I103" t="s">
        <v>48</v>
      </c>
      <c r="J103">
        <v>2</v>
      </c>
      <c r="K103">
        <v>21442</v>
      </c>
      <c r="L103">
        <v>15</v>
      </c>
      <c r="M103">
        <v>36451.4</v>
      </c>
      <c r="N103">
        <v>8213.9</v>
      </c>
      <c r="O103" t="s">
        <v>23</v>
      </c>
    </row>
    <row r="104" spans="1:15" x14ac:dyDescent="0.25">
      <c r="A104" t="s">
        <v>174</v>
      </c>
      <c r="B104" s="1">
        <v>45902</v>
      </c>
      <c r="C104" t="s">
        <v>25</v>
      </c>
      <c r="D104" t="s">
        <v>61</v>
      </c>
      <c r="E104" t="s">
        <v>62</v>
      </c>
      <c r="F104" t="s">
        <v>39</v>
      </c>
      <c r="G104" t="s">
        <v>20</v>
      </c>
      <c r="H104" t="s">
        <v>77</v>
      </c>
      <c r="I104" t="s">
        <v>78</v>
      </c>
      <c r="J104">
        <v>5</v>
      </c>
      <c r="K104">
        <v>22446</v>
      </c>
      <c r="L104">
        <v>0</v>
      </c>
      <c r="M104">
        <v>112230</v>
      </c>
      <c r="N104">
        <v>21441.24</v>
      </c>
      <c r="O104" t="s">
        <v>34</v>
      </c>
    </row>
    <row r="105" spans="1:15" x14ac:dyDescent="0.25">
      <c r="A105" t="s">
        <v>175</v>
      </c>
      <c r="B105" s="1">
        <v>45945</v>
      </c>
      <c r="C105" t="s">
        <v>36</v>
      </c>
      <c r="D105" t="s">
        <v>50</v>
      </c>
      <c r="E105" t="s">
        <v>51</v>
      </c>
      <c r="F105" t="s">
        <v>63</v>
      </c>
      <c r="G105" t="s">
        <v>20</v>
      </c>
      <c r="H105" t="s">
        <v>21</v>
      </c>
      <c r="I105" t="s">
        <v>56</v>
      </c>
      <c r="J105">
        <v>1</v>
      </c>
      <c r="K105">
        <v>39246</v>
      </c>
      <c r="L105">
        <v>15</v>
      </c>
      <c r="M105">
        <v>33359.1</v>
      </c>
      <c r="N105">
        <v>7485.77</v>
      </c>
      <c r="O105" t="s">
        <v>23</v>
      </c>
    </row>
    <row r="106" spans="1:15" x14ac:dyDescent="0.25">
      <c r="A106" t="s">
        <v>176</v>
      </c>
      <c r="B106" s="1">
        <v>45920</v>
      </c>
      <c r="C106" t="s">
        <v>65</v>
      </c>
      <c r="D106" t="s">
        <v>82</v>
      </c>
      <c r="E106" t="s">
        <v>83</v>
      </c>
      <c r="F106" t="s">
        <v>33</v>
      </c>
      <c r="G106" t="s">
        <v>28</v>
      </c>
      <c r="H106" t="s">
        <v>40</v>
      </c>
      <c r="I106" t="s">
        <v>59</v>
      </c>
      <c r="J106">
        <v>4</v>
      </c>
      <c r="K106">
        <v>50263</v>
      </c>
      <c r="L106">
        <v>10</v>
      </c>
      <c r="M106">
        <v>180946.8</v>
      </c>
      <c r="N106">
        <v>40483.68</v>
      </c>
      <c r="O106" t="s">
        <v>42</v>
      </c>
    </row>
    <row r="107" spans="1:15" x14ac:dyDescent="0.25">
      <c r="A107" t="s">
        <v>177</v>
      </c>
      <c r="B107" s="1">
        <v>45943</v>
      </c>
      <c r="C107" t="s">
        <v>25</v>
      </c>
      <c r="D107" t="s">
        <v>61</v>
      </c>
      <c r="E107" t="s">
        <v>62</v>
      </c>
      <c r="F107" t="s">
        <v>93</v>
      </c>
      <c r="G107" t="s">
        <v>20</v>
      </c>
      <c r="H107" t="s">
        <v>40</v>
      </c>
      <c r="I107" t="s">
        <v>59</v>
      </c>
      <c r="J107">
        <v>6</v>
      </c>
      <c r="K107">
        <v>30159</v>
      </c>
      <c r="L107">
        <v>10</v>
      </c>
      <c r="M107">
        <v>162858.6</v>
      </c>
      <c r="N107">
        <v>39110.160000000003</v>
      </c>
      <c r="O107" t="s">
        <v>31</v>
      </c>
    </row>
    <row r="108" spans="1:15" x14ac:dyDescent="0.25">
      <c r="A108" t="s">
        <v>178</v>
      </c>
      <c r="B108" s="1">
        <v>45976</v>
      </c>
      <c r="C108" t="s">
        <v>16</v>
      </c>
      <c r="D108" t="s">
        <v>17</v>
      </c>
      <c r="E108" t="s">
        <v>18</v>
      </c>
      <c r="F108" t="s">
        <v>33</v>
      </c>
      <c r="G108" t="s">
        <v>20</v>
      </c>
      <c r="H108" t="s">
        <v>68</v>
      </c>
      <c r="I108" t="s">
        <v>90</v>
      </c>
      <c r="J108">
        <v>4</v>
      </c>
      <c r="K108">
        <v>45247</v>
      </c>
      <c r="L108">
        <v>5</v>
      </c>
      <c r="M108">
        <v>171938.6</v>
      </c>
      <c r="N108">
        <v>17992.68</v>
      </c>
      <c r="O108" t="s">
        <v>23</v>
      </c>
    </row>
    <row r="109" spans="1:15" x14ac:dyDescent="0.25">
      <c r="A109" t="s">
        <v>179</v>
      </c>
      <c r="B109" s="1">
        <v>45688</v>
      </c>
      <c r="C109" t="s">
        <v>36</v>
      </c>
      <c r="D109" t="s">
        <v>50</v>
      </c>
      <c r="E109" t="s">
        <v>51</v>
      </c>
      <c r="F109" t="s">
        <v>19</v>
      </c>
      <c r="G109" t="s">
        <v>20</v>
      </c>
      <c r="H109" t="s">
        <v>29</v>
      </c>
      <c r="I109" t="s">
        <v>48</v>
      </c>
      <c r="J109">
        <v>6</v>
      </c>
      <c r="K109">
        <v>20112</v>
      </c>
      <c r="L109">
        <v>0</v>
      </c>
      <c r="M109">
        <v>120672</v>
      </c>
      <c r="N109">
        <v>19737.580000000002</v>
      </c>
      <c r="O109" t="s">
        <v>42</v>
      </c>
    </row>
    <row r="110" spans="1:15" x14ac:dyDescent="0.25">
      <c r="A110" t="s">
        <v>180</v>
      </c>
      <c r="B110" s="1">
        <v>45880</v>
      </c>
      <c r="C110" t="s">
        <v>16</v>
      </c>
      <c r="D110" t="s">
        <v>44</v>
      </c>
      <c r="E110" t="s">
        <v>44</v>
      </c>
      <c r="F110" t="s">
        <v>33</v>
      </c>
      <c r="G110" t="s">
        <v>28</v>
      </c>
      <c r="H110" t="s">
        <v>40</v>
      </c>
      <c r="I110" t="s">
        <v>41</v>
      </c>
      <c r="J110">
        <v>6</v>
      </c>
      <c r="K110">
        <v>16815</v>
      </c>
      <c r="L110">
        <v>20</v>
      </c>
      <c r="M110">
        <v>80712</v>
      </c>
      <c r="N110">
        <v>15626</v>
      </c>
      <c r="O110" t="s">
        <v>23</v>
      </c>
    </row>
    <row r="111" spans="1:15" x14ac:dyDescent="0.25">
      <c r="A111" t="s">
        <v>181</v>
      </c>
      <c r="B111" s="1">
        <v>45969</v>
      </c>
      <c r="C111" t="s">
        <v>65</v>
      </c>
      <c r="D111" t="s">
        <v>82</v>
      </c>
      <c r="E111" t="s">
        <v>83</v>
      </c>
      <c r="F111" t="s">
        <v>19</v>
      </c>
      <c r="G111" t="s">
        <v>28</v>
      </c>
      <c r="H111" t="s">
        <v>21</v>
      </c>
      <c r="I111" t="s">
        <v>45</v>
      </c>
      <c r="J111">
        <v>8</v>
      </c>
      <c r="K111">
        <v>9535</v>
      </c>
      <c r="L111">
        <v>15</v>
      </c>
      <c r="M111">
        <v>64838</v>
      </c>
      <c r="N111">
        <v>12530.4</v>
      </c>
      <c r="O111" t="s">
        <v>23</v>
      </c>
    </row>
    <row r="112" spans="1:15" x14ac:dyDescent="0.25">
      <c r="A112" t="s">
        <v>182</v>
      </c>
      <c r="B112" s="1">
        <v>45989</v>
      </c>
      <c r="C112" t="s">
        <v>16</v>
      </c>
      <c r="D112" t="s">
        <v>44</v>
      </c>
      <c r="E112" t="s">
        <v>44</v>
      </c>
      <c r="F112" t="s">
        <v>19</v>
      </c>
      <c r="G112" t="s">
        <v>20</v>
      </c>
      <c r="H112" t="s">
        <v>77</v>
      </c>
      <c r="I112" t="s">
        <v>100</v>
      </c>
      <c r="J112">
        <v>7</v>
      </c>
      <c r="K112">
        <v>65422</v>
      </c>
      <c r="L112">
        <v>15</v>
      </c>
      <c r="M112">
        <v>389260.9</v>
      </c>
      <c r="N112">
        <v>58735.31</v>
      </c>
      <c r="O112" t="s">
        <v>31</v>
      </c>
    </row>
    <row r="113" spans="1:15" x14ac:dyDescent="0.25">
      <c r="A113" t="s">
        <v>183</v>
      </c>
      <c r="B113" s="1">
        <v>45767</v>
      </c>
      <c r="C113" t="s">
        <v>36</v>
      </c>
      <c r="D113" t="s">
        <v>85</v>
      </c>
      <c r="E113" t="s">
        <v>86</v>
      </c>
      <c r="F113" t="s">
        <v>52</v>
      </c>
      <c r="G113" t="s">
        <v>20</v>
      </c>
      <c r="H113" t="s">
        <v>68</v>
      </c>
      <c r="I113" t="s">
        <v>94</v>
      </c>
      <c r="J113">
        <v>2</v>
      </c>
      <c r="K113">
        <v>67008</v>
      </c>
      <c r="L113">
        <v>0</v>
      </c>
      <c r="M113">
        <v>134016</v>
      </c>
      <c r="N113">
        <v>14171.21</v>
      </c>
      <c r="O113" t="s">
        <v>31</v>
      </c>
    </row>
    <row r="114" spans="1:15" x14ac:dyDescent="0.25">
      <c r="A114" t="s">
        <v>184</v>
      </c>
      <c r="B114" s="1">
        <v>45725</v>
      </c>
      <c r="C114" t="s">
        <v>25</v>
      </c>
      <c r="D114" t="s">
        <v>26</v>
      </c>
      <c r="E114" t="s">
        <v>27</v>
      </c>
      <c r="F114" t="s">
        <v>52</v>
      </c>
      <c r="G114" t="s">
        <v>28</v>
      </c>
      <c r="H114" t="s">
        <v>21</v>
      </c>
      <c r="I114" t="s">
        <v>56</v>
      </c>
      <c r="J114">
        <v>1</v>
      </c>
      <c r="K114">
        <v>17741</v>
      </c>
      <c r="L114">
        <v>0</v>
      </c>
      <c r="M114">
        <v>17741</v>
      </c>
      <c r="N114">
        <v>3795.75</v>
      </c>
      <c r="O114" t="s">
        <v>34</v>
      </c>
    </row>
    <row r="115" spans="1:15" x14ac:dyDescent="0.25">
      <c r="A115" t="s">
        <v>185</v>
      </c>
      <c r="B115" s="1">
        <v>45763</v>
      </c>
      <c r="C115" t="s">
        <v>16</v>
      </c>
      <c r="D115" t="s">
        <v>106</v>
      </c>
      <c r="E115" t="s">
        <v>107</v>
      </c>
      <c r="F115" t="s">
        <v>52</v>
      </c>
      <c r="G115" t="s">
        <v>20</v>
      </c>
      <c r="H115" t="s">
        <v>40</v>
      </c>
      <c r="I115" t="s">
        <v>41</v>
      </c>
      <c r="J115">
        <v>4</v>
      </c>
      <c r="K115">
        <v>4603</v>
      </c>
      <c r="L115">
        <v>0</v>
      </c>
      <c r="M115">
        <v>18412</v>
      </c>
      <c r="N115">
        <v>4529.1400000000003</v>
      </c>
      <c r="O115" t="s">
        <v>31</v>
      </c>
    </row>
    <row r="116" spans="1:15" x14ac:dyDescent="0.25">
      <c r="A116" t="s">
        <v>186</v>
      </c>
      <c r="B116" s="1">
        <v>45922</v>
      </c>
      <c r="C116" t="s">
        <v>16</v>
      </c>
      <c r="D116" t="s">
        <v>106</v>
      </c>
      <c r="E116" t="s">
        <v>107</v>
      </c>
      <c r="F116" t="s">
        <v>39</v>
      </c>
      <c r="G116" t="s">
        <v>20</v>
      </c>
      <c r="H116" t="s">
        <v>21</v>
      </c>
      <c r="I116" t="s">
        <v>22</v>
      </c>
      <c r="J116">
        <v>8</v>
      </c>
      <c r="K116">
        <v>67640</v>
      </c>
      <c r="L116">
        <v>5</v>
      </c>
      <c r="M116">
        <v>514064</v>
      </c>
      <c r="N116">
        <v>55680.6</v>
      </c>
      <c r="O116" t="s">
        <v>42</v>
      </c>
    </row>
    <row r="117" spans="1:15" x14ac:dyDescent="0.25">
      <c r="A117" t="s">
        <v>187</v>
      </c>
      <c r="B117" s="1">
        <v>45918</v>
      </c>
      <c r="C117" t="s">
        <v>65</v>
      </c>
      <c r="D117" t="s">
        <v>82</v>
      </c>
      <c r="E117" t="s">
        <v>83</v>
      </c>
      <c r="F117" t="s">
        <v>52</v>
      </c>
      <c r="G117" t="s">
        <v>28</v>
      </c>
      <c r="H117" t="s">
        <v>40</v>
      </c>
      <c r="I117" t="s">
        <v>41</v>
      </c>
      <c r="J117">
        <v>3</v>
      </c>
      <c r="K117">
        <v>12204</v>
      </c>
      <c r="L117">
        <v>20</v>
      </c>
      <c r="M117">
        <v>29289.599999999999</v>
      </c>
      <c r="N117">
        <v>5448.07</v>
      </c>
      <c r="O117" t="s">
        <v>31</v>
      </c>
    </row>
    <row r="118" spans="1:15" x14ac:dyDescent="0.25">
      <c r="A118" t="s">
        <v>188</v>
      </c>
      <c r="B118" s="1">
        <v>45924</v>
      </c>
      <c r="C118" t="s">
        <v>65</v>
      </c>
      <c r="D118" t="s">
        <v>82</v>
      </c>
      <c r="E118" t="s">
        <v>83</v>
      </c>
      <c r="F118" t="s">
        <v>39</v>
      </c>
      <c r="G118" t="s">
        <v>20</v>
      </c>
      <c r="H118" t="s">
        <v>68</v>
      </c>
      <c r="I118" t="s">
        <v>90</v>
      </c>
      <c r="J118">
        <v>9</v>
      </c>
      <c r="K118">
        <v>78728</v>
      </c>
      <c r="L118">
        <v>5</v>
      </c>
      <c r="M118">
        <v>673124.4</v>
      </c>
      <c r="N118">
        <v>115355.4</v>
      </c>
      <c r="O118" t="s">
        <v>23</v>
      </c>
    </row>
    <row r="119" spans="1:15" x14ac:dyDescent="0.25">
      <c r="A119" t="s">
        <v>189</v>
      </c>
      <c r="B119" s="1">
        <v>45784</v>
      </c>
      <c r="C119" t="s">
        <v>16</v>
      </c>
      <c r="D119" t="s">
        <v>106</v>
      </c>
      <c r="E119" t="s">
        <v>107</v>
      </c>
      <c r="F119" t="s">
        <v>93</v>
      </c>
      <c r="G119" t="s">
        <v>28</v>
      </c>
      <c r="H119" t="s">
        <v>21</v>
      </c>
      <c r="I119" t="s">
        <v>22</v>
      </c>
      <c r="J119">
        <v>8</v>
      </c>
      <c r="K119">
        <v>43967</v>
      </c>
      <c r="L119">
        <v>5</v>
      </c>
      <c r="M119">
        <v>334149.2</v>
      </c>
      <c r="N119">
        <v>68581.37</v>
      </c>
      <c r="O119" t="s">
        <v>42</v>
      </c>
    </row>
    <row r="120" spans="1:15" x14ac:dyDescent="0.25">
      <c r="A120" t="s">
        <v>190</v>
      </c>
      <c r="B120" s="1">
        <v>45958</v>
      </c>
      <c r="C120" t="s">
        <v>25</v>
      </c>
      <c r="D120" t="s">
        <v>26</v>
      </c>
      <c r="E120" t="s">
        <v>27</v>
      </c>
      <c r="F120" t="s">
        <v>52</v>
      </c>
      <c r="G120" t="s">
        <v>20</v>
      </c>
      <c r="H120" t="s">
        <v>21</v>
      </c>
      <c r="I120" t="s">
        <v>56</v>
      </c>
      <c r="J120">
        <v>3</v>
      </c>
      <c r="K120">
        <v>37246</v>
      </c>
      <c r="L120">
        <v>10</v>
      </c>
      <c r="M120">
        <v>100564.2</v>
      </c>
      <c r="N120">
        <v>13436.25</v>
      </c>
      <c r="O120" t="s">
        <v>31</v>
      </c>
    </row>
    <row r="121" spans="1:15" x14ac:dyDescent="0.25">
      <c r="A121" t="s">
        <v>191</v>
      </c>
      <c r="B121" s="1">
        <v>45731</v>
      </c>
      <c r="C121" t="s">
        <v>36</v>
      </c>
      <c r="D121" t="s">
        <v>85</v>
      </c>
      <c r="E121" t="s">
        <v>86</v>
      </c>
      <c r="F121" t="s">
        <v>19</v>
      </c>
      <c r="G121" t="s">
        <v>20</v>
      </c>
      <c r="H121" t="s">
        <v>40</v>
      </c>
      <c r="I121" t="s">
        <v>59</v>
      </c>
      <c r="J121">
        <v>7</v>
      </c>
      <c r="K121">
        <v>22020</v>
      </c>
      <c r="L121">
        <v>15</v>
      </c>
      <c r="M121">
        <v>131019</v>
      </c>
      <c r="N121">
        <v>20175.650000000001</v>
      </c>
      <c r="O121" t="s">
        <v>34</v>
      </c>
    </row>
    <row r="122" spans="1:15" x14ac:dyDescent="0.25">
      <c r="A122" t="s">
        <v>192</v>
      </c>
      <c r="B122" s="1">
        <v>45758</v>
      </c>
      <c r="C122" t="s">
        <v>25</v>
      </c>
      <c r="D122" t="s">
        <v>61</v>
      </c>
      <c r="E122" t="s">
        <v>62</v>
      </c>
      <c r="F122" t="s">
        <v>52</v>
      </c>
      <c r="G122" t="s">
        <v>28</v>
      </c>
      <c r="H122" t="s">
        <v>29</v>
      </c>
      <c r="I122" t="s">
        <v>48</v>
      </c>
      <c r="J122">
        <v>1</v>
      </c>
      <c r="K122">
        <v>74770</v>
      </c>
      <c r="L122">
        <v>15</v>
      </c>
      <c r="M122">
        <v>63554.5</v>
      </c>
      <c r="N122">
        <v>12020.59</v>
      </c>
      <c r="O122" t="s">
        <v>42</v>
      </c>
    </row>
    <row r="123" spans="1:15" x14ac:dyDescent="0.25">
      <c r="A123" t="s">
        <v>193</v>
      </c>
      <c r="B123" s="1">
        <v>45803</v>
      </c>
      <c r="C123" t="s">
        <v>16</v>
      </c>
      <c r="D123" t="s">
        <v>44</v>
      </c>
      <c r="E123" t="s">
        <v>44</v>
      </c>
      <c r="F123" t="s">
        <v>33</v>
      </c>
      <c r="G123" t="s">
        <v>28</v>
      </c>
      <c r="H123" t="s">
        <v>77</v>
      </c>
      <c r="I123" t="s">
        <v>78</v>
      </c>
      <c r="J123">
        <v>8</v>
      </c>
      <c r="K123">
        <v>21398</v>
      </c>
      <c r="L123">
        <v>10</v>
      </c>
      <c r="M123">
        <v>154065.60000000001</v>
      </c>
      <c r="N123">
        <v>19067.689999999999</v>
      </c>
      <c r="O123" t="s">
        <v>23</v>
      </c>
    </row>
    <row r="124" spans="1:15" x14ac:dyDescent="0.25">
      <c r="A124" t="s">
        <v>194</v>
      </c>
      <c r="B124" s="1">
        <v>45969</v>
      </c>
      <c r="C124" t="s">
        <v>65</v>
      </c>
      <c r="D124" t="s">
        <v>66</v>
      </c>
      <c r="E124" t="s">
        <v>67</v>
      </c>
      <c r="F124" t="s">
        <v>39</v>
      </c>
      <c r="G124" t="s">
        <v>28</v>
      </c>
      <c r="H124" t="s">
        <v>29</v>
      </c>
      <c r="I124" t="s">
        <v>48</v>
      </c>
      <c r="J124">
        <v>10</v>
      </c>
      <c r="K124">
        <v>57957</v>
      </c>
      <c r="L124">
        <v>15</v>
      </c>
      <c r="M124">
        <v>492634.5</v>
      </c>
      <c r="N124">
        <v>87488.51</v>
      </c>
      <c r="O124" t="s">
        <v>34</v>
      </c>
    </row>
    <row r="125" spans="1:15" x14ac:dyDescent="0.25">
      <c r="A125" t="s">
        <v>195</v>
      </c>
      <c r="B125" s="1">
        <v>45725</v>
      </c>
      <c r="C125" t="s">
        <v>16</v>
      </c>
      <c r="D125" t="s">
        <v>17</v>
      </c>
      <c r="E125" t="s">
        <v>18</v>
      </c>
      <c r="F125" t="s">
        <v>72</v>
      </c>
      <c r="G125" t="s">
        <v>20</v>
      </c>
      <c r="H125" t="s">
        <v>68</v>
      </c>
      <c r="I125" t="s">
        <v>69</v>
      </c>
      <c r="J125">
        <v>3</v>
      </c>
      <c r="K125">
        <v>62479</v>
      </c>
      <c r="L125">
        <v>0</v>
      </c>
      <c r="M125">
        <v>187437</v>
      </c>
      <c r="N125">
        <v>34903.629999999997</v>
      </c>
      <c r="O125" t="s">
        <v>31</v>
      </c>
    </row>
    <row r="126" spans="1:15" x14ac:dyDescent="0.25">
      <c r="A126" t="s">
        <v>196</v>
      </c>
      <c r="B126" s="1">
        <v>45726</v>
      </c>
      <c r="C126" t="s">
        <v>25</v>
      </c>
      <c r="D126" t="s">
        <v>61</v>
      </c>
      <c r="E126" t="s">
        <v>62</v>
      </c>
      <c r="F126" t="s">
        <v>39</v>
      </c>
      <c r="G126" t="s">
        <v>20</v>
      </c>
      <c r="H126" t="s">
        <v>21</v>
      </c>
      <c r="I126" t="s">
        <v>22</v>
      </c>
      <c r="J126">
        <v>8</v>
      </c>
      <c r="K126">
        <v>7798</v>
      </c>
      <c r="L126">
        <v>20</v>
      </c>
      <c r="M126">
        <v>49907.199999999997</v>
      </c>
      <c r="N126">
        <v>4437.67</v>
      </c>
      <c r="O126" t="s">
        <v>34</v>
      </c>
    </row>
    <row r="127" spans="1:15" x14ac:dyDescent="0.25">
      <c r="A127" t="s">
        <v>197</v>
      </c>
      <c r="B127" s="1">
        <v>45834</v>
      </c>
      <c r="C127" t="s">
        <v>25</v>
      </c>
      <c r="D127" t="s">
        <v>61</v>
      </c>
      <c r="E127" t="s">
        <v>62</v>
      </c>
      <c r="F127" t="s">
        <v>47</v>
      </c>
      <c r="G127" t="s">
        <v>20</v>
      </c>
      <c r="H127" t="s">
        <v>68</v>
      </c>
      <c r="I127" t="s">
        <v>69</v>
      </c>
      <c r="J127">
        <v>2</v>
      </c>
      <c r="K127">
        <v>27889</v>
      </c>
      <c r="L127">
        <v>15</v>
      </c>
      <c r="M127">
        <v>47411.3</v>
      </c>
      <c r="N127">
        <v>10250.9</v>
      </c>
      <c r="O127" t="s">
        <v>34</v>
      </c>
    </row>
    <row r="128" spans="1:15" x14ac:dyDescent="0.25">
      <c r="A128" t="s">
        <v>198</v>
      </c>
      <c r="B128" s="1">
        <v>45960</v>
      </c>
      <c r="C128" t="s">
        <v>16</v>
      </c>
      <c r="D128" t="s">
        <v>106</v>
      </c>
      <c r="E128" t="s">
        <v>107</v>
      </c>
      <c r="F128" t="s">
        <v>47</v>
      </c>
      <c r="G128" t="s">
        <v>28</v>
      </c>
      <c r="H128" t="s">
        <v>68</v>
      </c>
      <c r="I128" t="s">
        <v>90</v>
      </c>
      <c r="J128">
        <v>1</v>
      </c>
      <c r="K128">
        <v>47838</v>
      </c>
      <c r="L128">
        <v>0</v>
      </c>
      <c r="M128">
        <v>47838</v>
      </c>
      <c r="N128">
        <v>7314.35</v>
      </c>
      <c r="O128" t="s">
        <v>42</v>
      </c>
    </row>
    <row r="129" spans="1:15" x14ac:dyDescent="0.25">
      <c r="A129" t="s">
        <v>199</v>
      </c>
      <c r="B129" s="1">
        <v>45914</v>
      </c>
      <c r="C129" t="s">
        <v>25</v>
      </c>
      <c r="D129" t="s">
        <v>61</v>
      </c>
      <c r="E129" t="s">
        <v>62</v>
      </c>
      <c r="F129" t="s">
        <v>33</v>
      </c>
      <c r="G129" t="s">
        <v>28</v>
      </c>
      <c r="H129" t="s">
        <v>77</v>
      </c>
      <c r="I129" t="s">
        <v>78</v>
      </c>
      <c r="J129">
        <v>1</v>
      </c>
      <c r="K129">
        <v>40421</v>
      </c>
      <c r="L129">
        <v>5</v>
      </c>
      <c r="M129">
        <v>38399.949999999997</v>
      </c>
      <c r="N129">
        <v>5406.21</v>
      </c>
      <c r="O129" t="s">
        <v>34</v>
      </c>
    </row>
    <row r="130" spans="1:15" x14ac:dyDescent="0.25">
      <c r="A130" t="s">
        <v>200</v>
      </c>
      <c r="B130" s="1">
        <v>45750</v>
      </c>
      <c r="C130" t="s">
        <v>65</v>
      </c>
      <c r="D130" t="s">
        <v>82</v>
      </c>
      <c r="E130" t="s">
        <v>83</v>
      </c>
      <c r="F130" t="s">
        <v>39</v>
      </c>
      <c r="G130" t="s">
        <v>28</v>
      </c>
      <c r="H130" t="s">
        <v>77</v>
      </c>
      <c r="I130" t="s">
        <v>100</v>
      </c>
      <c r="J130">
        <v>6</v>
      </c>
      <c r="K130">
        <v>10767</v>
      </c>
      <c r="L130">
        <v>20</v>
      </c>
      <c r="M130">
        <v>51681.599999999999</v>
      </c>
      <c r="N130">
        <v>12542.85</v>
      </c>
      <c r="O130" t="s">
        <v>31</v>
      </c>
    </row>
    <row r="131" spans="1:15" x14ac:dyDescent="0.25">
      <c r="A131" t="s">
        <v>201</v>
      </c>
      <c r="B131" s="1">
        <v>45770</v>
      </c>
      <c r="C131" t="s">
        <v>65</v>
      </c>
      <c r="D131" t="s">
        <v>66</v>
      </c>
      <c r="E131" t="s">
        <v>67</v>
      </c>
      <c r="F131" t="s">
        <v>47</v>
      </c>
      <c r="G131" t="s">
        <v>20</v>
      </c>
      <c r="H131" t="s">
        <v>68</v>
      </c>
      <c r="I131" t="s">
        <v>94</v>
      </c>
      <c r="J131">
        <v>2</v>
      </c>
      <c r="K131">
        <v>34937</v>
      </c>
      <c r="L131">
        <v>5</v>
      </c>
      <c r="M131">
        <v>66380.3</v>
      </c>
      <c r="N131">
        <v>6618.33</v>
      </c>
      <c r="O131" t="s">
        <v>23</v>
      </c>
    </row>
    <row r="132" spans="1:15" x14ac:dyDescent="0.25">
      <c r="A132" t="s">
        <v>202</v>
      </c>
      <c r="B132" s="1">
        <v>45849</v>
      </c>
      <c r="C132" t="s">
        <v>25</v>
      </c>
      <c r="D132" t="s">
        <v>61</v>
      </c>
      <c r="E132" t="s">
        <v>62</v>
      </c>
      <c r="F132" t="s">
        <v>72</v>
      </c>
      <c r="G132" t="s">
        <v>20</v>
      </c>
      <c r="H132" t="s">
        <v>68</v>
      </c>
      <c r="I132" t="s">
        <v>90</v>
      </c>
      <c r="J132">
        <v>3</v>
      </c>
      <c r="K132">
        <v>68570</v>
      </c>
      <c r="L132">
        <v>5</v>
      </c>
      <c r="M132">
        <v>195424.5</v>
      </c>
      <c r="N132">
        <v>25252.67</v>
      </c>
      <c r="O132" t="s">
        <v>34</v>
      </c>
    </row>
    <row r="133" spans="1:15" x14ac:dyDescent="0.25">
      <c r="A133" t="s">
        <v>203</v>
      </c>
      <c r="B133" s="1">
        <v>45720</v>
      </c>
      <c r="C133" t="s">
        <v>16</v>
      </c>
      <c r="D133" t="s">
        <v>106</v>
      </c>
      <c r="E133" t="s">
        <v>107</v>
      </c>
      <c r="F133" t="s">
        <v>33</v>
      </c>
      <c r="G133" t="s">
        <v>20</v>
      </c>
      <c r="H133" t="s">
        <v>77</v>
      </c>
      <c r="I133" t="s">
        <v>100</v>
      </c>
      <c r="J133">
        <v>4</v>
      </c>
      <c r="K133">
        <v>57485</v>
      </c>
      <c r="L133">
        <v>20</v>
      </c>
      <c r="M133">
        <v>183952</v>
      </c>
      <c r="N133">
        <v>38034.94</v>
      </c>
      <c r="O133" t="s">
        <v>23</v>
      </c>
    </row>
    <row r="134" spans="1:15" x14ac:dyDescent="0.25">
      <c r="A134" t="s">
        <v>204</v>
      </c>
      <c r="B134" s="1">
        <v>45958</v>
      </c>
      <c r="C134" t="s">
        <v>25</v>
      </c>
      <c r="D134" t="s">
        <v>26</v>
      </c>
      <c r="E134" t="s">
        <v>27</v>
      </c>
      <c r="F134" t="s">
        <v>72</v>
      </c>
      <c r="G134" t="s">
        <v>28</v>
      </c>
      <c r="H134" t="s">
        <v>29</v>
      </c>
      <c r="I134" t="s">
        <v>30</v>
      </c>
      <c r="J134">
        <v>10</v>
      </c>
      <c r="K134">
        <v>66026</v>
      </c>
      <c r="L134">
        <v>15</v>
      </c>
      <c r="M134">
        <v>561221</v>
      </c>
      <c r="N134">
        <v>74023.460000000006</v>
      </c>
      <c r="O134" t="s">
        <v>23</v>
      </c>
    </row>
    <row r="135" spans="1:15" x14ac:dyDescent="0.25">
      <c r="A135" t="s">
        <v>205</v>
      </c>
      <c r="B135" s="1">
        <v>45919</v>
      </c>
      <c r="C135" t="s">
        <v>25</v>
      </c>
      <c r="D135" t="s">
        <v>26</v>
      </c>
      <c r="E135" t="s">
        <v>27</v>
      </c>
      <c r="F135" t="s">
        <v>39</v>
      </c>
      <c r="G135" t="s">
        <v>20</v>
      </c>
      <c r="H135" t="s">
        <v>40</v>
      </c>
      <c r="I135" t="s">
        <v>41</v>
      </c>
      <c r="J135">
        <v>10</v>
      </c>
      <c r="K135">
        <v>62037</v>
      </c>
      <c r="L135">
        <v>0</v>
      </c>
      <c r="M135">
        <v>620370</v>
      </c>
      <c r="N135">
        <v>144367.42000000001</v>
      </c>
      <c r="O135" t="s">
        <v>42</v>
      </c>
    </row>
    <row r="136" spans="1:15" x14ac:dyDescent="0.25">
      <c r="A136" t="s">
        <v>206</v>
      </c>
      <c r="B136" s="1">
        <v>45738</v>
      </c>
      <c r="C136" t="s">
        <v>25</v>
      </c>
      <c r="D136" t="s">
        <v>26</v>
      </c>
      <c r="E136" t="s">
        <v>27</v>
      </c>
      <c r="F136" t="s">
        <v>52</v>
      </c>
      <c r="G136" t="s">
        <v>28</v>
      </c>
      <c r="H136" t="s">
        <v>68</v>
      </c>
      <c r="I136" t="s">
        <v>69</v>
      </c>
      <c r="J136">
        <v>5</v>
      </c>
      <c r="K136">
        <v>72203</v>
      </c>
      <c r="L136">
        <v>15</v>
      </c>
      <c r="M136">
        <v>306862.75</v>
      </c>
      <c r="N136">
        <v>75803.87</v>
      </c>
      <c r="O136" t="s">
        <v>34</v>
      </c>
    </row>
    <row r="137" spans="1:15" x14ac:dyDescent="0.25">
      <c r="A137" t="s">
        <v>207</v>
      </c>
      <c r="B137" s="1">
        <v>45688</v>
      </c>
      <c r="C137" t="s">
        <v>25</v>
      </c>
      <c r="D137" t="s">
        <v>26</v>
      </c>
      <c r="E137" t="s">
        <v>27</v>
      </c>
      <c r="F137" t="s">
        <v>72</v>
      </c>
      <c r="G137" t="s">
        <v>28</v>
      </c>
      <c r="H137" t="s">
        <v>21</v>
      </c>
      <c r="I137" t="s">
        <v>56</v>
      </c>
      <c r="J137">
        <v>9</v>
      </c>
      <c r="K137">
        <v>29586</v>
      </c>
      <c r="L137">
        <v>5</v>
      </c>
      <c r="M137">
        <v>252960.3</v>
      </c>
      <c r="N137">
        <v>47316.01</v>
      </c>
      <c r="O137" t="s">
        <v>42</v>
      </c>
    </row>
    <row r="138" spans="1:15" x14ac:dyDescent="0.25">
      <c r="A138" t="s">
        <v>208</v>
      </c>
      <c r="B138" s="1">
        <v>45843</v>
      </c>
      <c r="C138" t="s">
        <v>65</v>
      </c>
      <c r="D138" t="s">
        <v>82</v>
      </c>
      <c r="E138" t="s">
        <v>83</v>
      </c>
      <c r="F138" t="s">
        <v>19</v>
      </c>
      <c r="G138" t="s">
        <v>20</v>
      </c>
      <c r="H138" t="s">
        <v>21</v>
      </c>
      <c r="I138" t="s">
        <v>22</v>
      </c>
      <c r="J138">
        <v>7</v>
      </c>
      <c r="K138">
        <v>70394</v>
      </c>
      <c r="L138">
        <v>15</v>
      </c>
      <c r="M138">
        <v>418844.3</v>
      </c>
      <c r="N138">
        <v>45617.07</v>
      </c>
      <c r="O138" t="s">
        <v>34</v>
      </c>
    </row>
    <row r="139" spans="1:15" x14ac:dyDescent="0.25">
      <c r="A139" t="s">
        <v>209</v>
      </c>
      <c r="B139" s="1">
        <v>45730</v>
      </c>
      <c r="C139" t="s">
        <v>16</v>
      </c>
      <c r="D139" t="s">
        <v>106</v>
      </c>
      <c r="E139" t="s">
        <v>107</v>
      </c>
      <c r="F139" t="s">
        <v>93</v>
      </c>
      <c r="G139" t="s">
        <v>20</v>
      </c>
      <c r="H139" t="s">
        <v>21</v>
      </c>
      <c r="I139" t="s">
        <v>22</v>
      </c>
      <c r="J139">
        <v>4</v>
      </c>
      <c r="K139">
        <v>52143</v>
      </c>
      <c r="L139">
        <v>15</v>
      </c>
      <c r="M139">
        <v>177286.2</v>
      </c>
      <c r="N139">
        <v>39369.17</v>
      </c>
      <c r="O139" t="s">
        <v>34</v>
      </c>
    </row>
    <row r="140" spans="1:15" x14ac:dyDescent="0.25">
      <c r="A140" t="s">
        <v>210</v>
      </c>
      <c r="B140" s="1">
        <v>45919</v>
      </c>
      <c r="C140" t="s">
        <v>36</v>
      </c>
      <c r="D140" t="s">
        <v>85</v>
      </c>
      <c r="E140" t="s">
        <v>86</v>
      </c>
      <c r="F140" t="s">
        <v>47</v>
      </c>
      <c r="G140" t="s">
        <v>28</v>
      </c>
      <c r="H140" t="s">
        <v>40</v>
      </c>
      <c r="I140" t="s">
        <v>41</v>
      </c>
      <c r="J140">
        <v>2</v>
      </c>
      <c r="K140">
        <v>73364</v>
      </c>
      <c r="L140">
        <v>5</v>
      </c>
      <c r="M140">
        <v>139391.6</v>
      </c>
      <c r="N140">
        <v>18003.849999999999</v>
      </c>
      <c r="O140" t="s">
        <v>23</v>
      </c>
    </row>
    <row r="141" spans="1:15" x14ac:dyDescent="0.25">
      <c r="A141" t="s">
        <v>211</v>
      </c>
      <c r="B141" s="1">
        <v>45772</v>
      </c>
      <c r="C141" t="s">
        <v>36</v>
      </c>
      <c r="D141" t="s">
        <v>85</v>
      </c>
      <c r="E141" t="s">
        <v>86</v>
      </c>
      <c r="F141" t="s">
        <v>33</v>
      </c>
      <c r="G141" t="s">
        <v>28</v>
      </c>
      <c r="H141" t="s">
        <v>68</v>
      </c>
      <c r="I141" t="s">
        <v>69</v>
      </c>
      <c r="J141">
        <v>4</v>
      </c>
      <c r="K141">
        <v>60295</v>
      </c>
      <c r="L141">
        <v>0</v>
      </c>
      <c r="M141">
        <v>241180</v>
      </c>
      <c r="N141">
        <v>45892.44</v>
      </c>
      <c r="O141" t="s">
        <v>23</v>
      </c>
    </row>
    <row r="142" spans="1:15" x14ac:dyDescent="0.25">
      <c r="A142" t="s">
        <v>212</v>
      </c>
      <c r="B142" s="1">
        <v>45718</v>
      </c>
      <c r="C142" t="s">
        <v>25</v>
      </c>
      <c r="D142" t="s">
        <v>26</v>
      </c>
      <c r="E142" t="s">
        <v>27</v>
      </c>
      <c r="F142" t="s">
        <v>93</v>
      </c>
      <c r="G142" t="s">
        <v>20</v>
      </c>
      <c r="H142" t="s">
        <v>21</v>
      </c>
      <c r="I142" t="s">
        <v>22</v>
      </c>
      <c r="J142">
        <v>2</v>
      </c>
      <c r="K142">
        <v>70972</v>
      </c>
      <c r="L142">
        <v>5</v>
      </c>
      <c r="M142">
        <v>134846.79999999999</v>
      </c>
      <c r="N142">
        <v>29036.13</v>
      </c>
      <c r="O142" t="s">
        <v>23</v>
      </c>
    </row>
    <row r="143" spans="1:15" x14ac:dyDescent="0.25">
      <c r="A143" t="s">
        <v>213</v>
      </c>
      <c r="B143" s="1">
        <v>45893</v>
      </c>
      <c r="C143" t="s">
        <v>65</v>
      </c>
      <c r="D143" t="s">
        <v>82</v>
      </c>
      <c r="E143" t="s">
        <v>83</v>
      </c>
      <c r="F143" t="s">
        <v>52</v>
      </c>
      <c r="G143" t="s">
        <v>28</v>
      </c>
      <c r="H143" t="s">
        <v>29</v>
      </c>
      <c r="I143" t="s">
        <v>48</v>
      </c>
      <c r="J143">
        <v>3</v>
      </c>
      <c r="K143">
        <v>60459</v>
      </c>
      <c r="L143">
        <v>15</v>
      </c>
      <c r="M143">
        <v>154170.45000000001</v>
      </c>
      <c r="N143">
        <v>32728.71</v>
      </c>
      <c r="O143" t="s">
        <v>31</v>
      </c>
    </row>
    <row r="144" spans="1:15" x14ac:dyDescent="0.25">
      <c r="A144" t="s">
        <v>214</v>
      </c>
      <c r="B144" s="1">
        <v>46020</v>
      </c>
      <c r="C144" t="s">
        <v>65</v>
      </c>
      <c r="D144" t="s">
        <v>66</v>
      </c>
      <c r="E144" t="s">
        <v>67</v>
      </c>
      <c r="F144" t="s">
        <v>52</v>
      </c>
      <c r="G144" t="s">
        <v>20</v>
      </c>
      <c r="H144" t="s">
        <v>21</v>
      </c>
      <c r="I144" t="s">
        <v>45</v>
      </c>
      <c r="J144">
        <v>3</v>
      </c>
      <c r="K144">
        <v>68259</v>
      </c>
      <c r="L144">
        <v>15</v>
      </c>
      <c r="M144">
        <v>174060.45</v>
      </c>
      <c r="N144">
        <v>42992.52</v>
      </c>
      <c r="O144" t="s">
        <v>23</v>
      </c>
    </row>
    <row r="145" spans="1:15" x14ac:dyDescent="0.25">
      <c r="A145" t="s">
        <v>215</v>
      </c>
      <c r="B145" s="1">
        <v>45824</v>
      </c>
      <c r="C145" t="s">
        <v>65</v>
      </c>
      <c r="D145" t="s">
        <v>66</v>
      </c>
      <c r="E145" t="s">
        <v>67</v>
      </c>
      <c r="F145" t="s">
        <v>39</v>
      </c>
      <c r="G145" t="s">
        <v>28</v>
      </c>
      <c r="H145" t="s">
        <v>29</v>
      </c>
      <c r="I145" t="s">
        <v>53</v>
      </c>
      <c r="J145">
        <v>2</v>
      </c>
      <c r="K145">
        <v>8212</v>
      </c>
      <c r="L145">
        <v>10</v>
      </c>
      <c r="M145">
        <v>14781.6</v>
      </c>
      <c r="N145">
        <v>2325.41</v>
      </c>
      <c r="O145" t="s">
        <v>34</v>
      </c>
    </row>
    <row r="146" spans="1:15" x14ac:dyDescent="0.25">
      <c r="A146" t="s">
        <v>216</v>
      </c>
      <c r="B146" s="1">
        <v>46007</v>
      </c>
      <c r="C146" t="s">
        <v>16</v>
      </c>
      <c r="D146" t="s">
        <v>106</v>
      </c>
      <c r="E146" t="s">
        <v>107</v>
      </c>
      <c r="F146" t="s">
        <v>33</v>
      </c>
      <c r="G146" t="s">
        <v>20</v>
      </c>
      <c r="H146" t="s">
        <v>21</v>
      </c>
      <c r="I146" t="s">
        <v>45</v>
      </c>
      <c r="J146">
        <v>4</v>
      </c>
      <c r="K146">
        <v>55361</v>
      </c>
      <c r="L146">
        <v>5</v>
      </c>
      <c r="M146">
        <v>210371.8</v>
      </c>
      <c r="N146">
        <v>26538.26</v>
      </c>
      <c r="O146" t="s">
        <v>42</v>
      </c>
    </row>
    <row r="147" spans="1:15" x14ac:dyDescent="0.25">
      <c r="A147" t="s">
        <v>217</v>
      </c>
      <c r="B147" s="1">
        <v>45790</v>
      </c>
      <c r="C147" t="s">
        <v>25</v>
      </c>
      <c r="D147" t="s">
        <v>26</v>
      </c>
      <c r="E147" t="s">
        <v>27</v>
      </c>
      <c r="F147" t="s">
        <v>19</v>
      </c>
      <c r="G147" t="s">
        <v>20</v>
      </c>
      <c r="H147" t="s">
        <v>77</v>
      </c>
      <c r="I147" t="s">
        <v>78</v>
      </c>
      <c r="J147">
        <v>1</v>
      </c>
      <c r="K147">
        <v>17830</v>
      </c>
      <c r="L147">
        <v>5</v>
      </c>
      <c r="M147">
        <v>16938.5</v>
      </c>
      <c r="N147">
        <v>4108.97</v>
      </c>
      <c r="O147" t="s">
        <v>34</v>
      </c>
    </row>
    <row r="148" spans="1:15" x14ac:dyDescent="0.25">
      <c r="A148" t="s">
        <v>218</v>
      </c>
      <c r="B148" s="1">
        <v>45944</v>
      </c>
      <c r="C148" t="s">
        <v>65</v>
      </c>
      <c r="D148" t="s">
        <v>66</v>
      </c>
      <c r="E148" t="s">
        <v>67</v>
      </c>
      <c r="F148" t="s">
        <v>63</v>
      </c>
      <c r="G148" t="s">
        <v>28</v>
      </c>
      <c r="H148" t="s">
        <v>68</v>
      </c>
      <c r="I148" t="s">
        <v>69</v>
      </c>
      <c r="J148">
        <v>5</v>
      </c>
      <c r="K148">
        <v>13050</v>
      </c>
      <c r="L148">
        <v>5</v>
      </c>
      <c r="M148">
        <v>61987.5</v>
      </c>
      <c r="N148">
        <v>7237.59</v>
      </c>
      <c r="O148" t="s">
        <v>42</v>
      </c>
    </row>
    <row r="149" spans="1:15" x14ac:dyDescent="0.25">
      <c r="A149" t="s">
        <v>219</v>
      </c>
      <c r="B149" s="1">
        <v>46019</v>
      </c>
      <c r="C149" t="s">
        <v>25</v>
      </c>
      <c r="D149" t="s">
        <v>26</v>
      </c>
      <c r="E149" t="s">
        <v>27</v>
      </c>
      <c r="F149" t="s">
        <v>39</v>
      </c>
      <c r="G149" t="s">
        <v>28</v>
      </c>
      <c r="H149" t="s">
        <v>29</v>
      </c>
      <c r="I149" t="s">
        <v>53</v>
      </c>
      <c r="J149">
        <v>4</v>
      </c>
      <c r="K149">
        <v>38897</v>
      </c>
      <c r="L149">
        <v>5</v>
      </c>
      <c r="M149">
        <v>147808.6</v>
      </c>
      <c r="N149">
        <v>34372.230000000003</v>
      </c>
      <c r="O149" t="s">
        <v>34</v>
      </c>
    </row>
    <row r="150" spans="1:15" x14ac:dyDescent="0.25">
      <c r="A150" t="s">
        <v>220</v>
      </c>
      <c r="B150" s="1">
        <v>45772</v>
      </c>
      <c r="C150" t="s">
        <v>65</v>
      </c>
      <c r="D150" t="s">
        <v>66</v>
      </c>
      <c r="E150" t="s">
        <v>67</v>
      </c>
      <c r="F150" t="s">
        <v>33</v>
      </c>
      <c r="G150" t="s">
        <v>20</v>
      </c>
      <c r="H150" t="s">
        <v>68</v>
      </c>
      <c r="I150" t="s">
        <v>90</v>
      </c>
      <c r="J150">
        <v>5</v>
      </c>
      <c r="K150">
        <v>64811</v>
      </c>
      <c r="L150">
        <v>15</v>
      </c>
      <c r="M150">
        <v>275446.75</v>
      </c>
      <c r="N150">
        <v>68327.850000000006</v>
      </c>
      <c r="O150" t="s">
        <v>42</v>
      </c>
    </row>
    <row r="151" spans="1:15" x14ac:dyDescent="0.25">
      <c r="A151" t="s">
        <v>221</v>
      </c>
      <c r="B151" s="1">
        <v>45800</v>
      </c>
      <c r="C151" t="s">
        <v>65</v>
      </c>
      <c r="D151" t="s">
        <v>66</v>
      </c>
      <c r="E151" t="s">
        <v>67</v>
      </c>
      <c r="F151" t="s">
        <v>33</v>
      </c>
      <c r="G151" t="s">
        <v>20</v>
      </c>
      <c r="H151" t="s">
        <v>29</v>
      </c>
      <c r="I151" t="s">
        <v>48</v>
      </c>
      <c r="J151">
        <v>4</v>
      </c>
      <c r="K151">
        <v>44311</v>
      </c>
      <c r="L151">
        <v>0</v>
      </c>
      <c r="M151">
        <v>177244</v>
      </c>
      <c r="N151">
        <v>39262.21</v>
      </c>
      <c r="O151" t="s">
        <v>34</v>
      </c>
    </row>
    <row r="152" spans="1:15" x14ac:dyDescent="0.25">
      <c r="A152" t="s">
        <v>222</v>
      </c>
      <c r="B152" s="1">
        <v>45678</v>
      </c>
      <c r="C152" t="s">
        <v>25</v>
      </c>
      <c r="D152" t="s">
        <v>61</v>
      </c>
      <c r="E152" t="s">
        <v>62</v>
      </c>
      <c r="F152" t="s">
        <v>47</v>
      </c>
      <c r="G152" t="s">
        <v>28</v>
      </c>
      <c r="H152" t="s">
        <v>40</v>
      </c>
      <c r="I152" t="s">
        <v>59</v>
      </c>
      <c r="J152">
        <v>2</v>
      </c>
      <c r="K152">
        <v>46590</v>
      </c>
      <c r="L152">
        <v>20</v>
      </c>
      <c r="M152">
        <v>74544</v>
      </c>
      <c r="N152">
        <v>7175.11</v>
      </c>
      <c r="O152" t="s">
        <v>42</v>
      </c>
    </row>
    <row r="153" spans="1:15" x14ac:dyDescent="0.25">
      <c r="A153" t="s">
        <v>223</v>
      </c>
      <c r="B153" s="1">
        <v>45916</v>
      </c>
      <c r="C153" t="s">
        <v>36</v>
      </c>
      <c r="D153" t="s">
        <v>50</v>
      </c>
      <c r="E153" t="s">
        <v>51</v>
      </c>
      <c r="F153" t="s">
        <v>63</v>
      </c>
      <c r="G153" t="s">
        <v>28</v>
      </c>
      <c r="H153" t="s">
        <v>21</v>
      </c>
      <c r="I153" t="s">
        <v>56</v>
      </c>
      <c r="J153">
        <v>9</v>
      </c>
      <c r="K153">
        <v>2711</v>
      </c>
      <c r="L153">
        <v>5</v>
      </c>
      <c r="M153">
        <v>23179.05</v>
      </c>
      <c r="N153">
        <v>2950.52</v>
      </c>
      <c r="O153" t="s">
        <v>23</v>
      </c>
    </row>
    <row r="154" spans="1:15" x14ac:dyDescent="0.25">
      <c r="A154" t="s">
        <v>224</v>
      </c>
      <c r="B154" s="1">
        <v>45841</v>
      </c>
      <c r="C154" t="s">
        <v>65</v>
      </c>
      <c r="D154" t="s">
        <v>82</v>
      </c>
      <c r="E154" t="s">
        <v>83</v>
      </c>
      <c r="F154" t="s">
        <v>19</v>
      </c>
      <c r="G154" t="s">
        <v>28</v>
      </c>
      <c r="H154" t="s">
        <v>40</v>
      </c>
      <c r="I154" t="s">
        <v>59</v>
      </c>
      <c r="J154">
        <v>8</v>
      </c>
      <c r="K154">
        <v>58595</v>
      </c>
      <c r="L154">
        <v>5</v>
      </c>
      <c r="M154">
        <v>445322</v>
      </c>
      <c r="N154">
        <v>102702.02</v>
      </c>
      <c r="O154" t="s">
        <v>23</v>
      </c>
    </row>
    <row r="155" spans="1:15" x14ac:dyDescent="0.25">
      <c r="A155" t="s">
        <v>225</v>
      </c>
      <c r="B155" s="1">
        <v>45907</v>
      </c>
      <c r="C155" t="s">
        <v>16</v>
      </c>
      <c r="D155" t="s">
        <v>106</v>
      </c>
      <c r="E155" t="s">
        <v>107</v>
      </c>
      <c r="F155" t="s">
        <v>93</v>
      </c>
      <c r="G155" t="s">
        <v>28</v>
      </c>
      <c r="H155" t="s">
        <v>40</v>
      </c>
      <c r="I155" t="s">
        <v>59</v>
      </c>
      <c r="J155">
        <v>6</v>
      </c>
      <c r="K155">
        <v>37231</v>
      </c>
      <c r="L155">
        <v>20</v>
      </c>
      <c r="M155">
        <v>178708.8</v>
      </c>
      <c r="N155">
        <v>29443.7</v>
      </c>
      <c r="O155" t="s">
        <v>34</v>
      </c>
    </row>
    <row r="156" spans="1:15" x14ac:dyDescent="0.25">
      <c r="A156" t="s">
        <v>226</v>
      </c>
      <c r="B156" s="1">
        <v>45813</v>
      </c>
      <c r="C156" t="s">
        <v>25</v>
      </c>
      <c r="D156" t="s">
        <v>26</v>
      </c>
      <c r="E156" t="s">
        <v>27</v>
      </c>
      <c r="F156" t="s">
        <v>39</v>
      </c>
      <c r="G156" t="s">
        <v>28</v>
      </c>
      <c r="H156" t="s">
        <v>77</v>
      </c>
      <c r="I156" t="s">
        <v>100</v>
      </c>
      <c r="J156">
        <v>4</v>
      </c>
      <c r="K156">
        <v>68326</v>
      </c>
      <c r="L156">
        <v>10</v>
      </c>
      <c r="M156">
        <v>245973.6</v>
      </c>
      <c r="N156">
        <v>41317.75</v>
      </c>
      <c r="O156" t="s">
        <v>23</v>
      </c>
    </row>
    <row r="157" spans="1:15" x14ac:dyDescent="0.25">
      <c r="A157" t="s">
        <v>227</v>
      </c>
      <c r="B157" s="1">
        <v>45792</v>
      </c>
      <c r="C157" t="s">
        <v>65</v>
      </c>
      <c r="D157" t="s">
        <v>82</v>
      </c>
      <c r="E157" t="s">
        <v>83</v>
      </c>
      <c r="F157" t="s">
        <v>33</v>
      </c>
      <c r="G157" t="s">
        <v>28</v>
      </c>
      <c r="H157" t="s">
        <v>29</v>
      </c>
      <c r="I157" t="s">
        <v>30</v>
      </c>
      <c r="J157">
        <v>10</v>
      </c>
      <c r="K157">
        <v>44795</v>
      </c>
      <c r="L157">
        <v>10</v>
      </c>
      <c r="M157">
        <v>403155</v>
      </c>
      <c r="N157">
        <v>75255.990000000005</v>
      </c>
      <c r="O157" t="s">
        <v>34</v>
      </c>
    </row>
    <row r="158" spans="1:15" x14ac:dyDescent="0.25">
      <c r="A158" t="s">
        <v>228</v>
      </c>
      <c r="B158" s="1">
        <v>45809</v>
      </c>
      <c r="C158" t="s">
        <v>36</v>
      </c>
      <c r="D158" t="s">
        <v>37</v>
      </c>
      <c r="E158" t="s">
        <v>38</v>
      </c>
      <c r="F158" t="s">
        <v>72</v>
      </c>
      <c r="G158" t="s">
        <v>20</v>
      </c>
      <c r="H158" t="s">
        <v>29</v>
      </c>
      <c r="I158" t="s">
        <v>48</v>
      </c>
      <c r="J158">
        <v>7</v>
      </c>
      <c r="K158">
        <v>30494</v>
      </c>
      <c r="L158">
        <v>20</v>
      </c>
      <c r="M158">
        <v>170766.4</v>
      </c>
      <c r="N158">
        <v>14235.94</v>
      </c>
      <c r="O158" t="s">
        <v>42</v>
      </c>
    </row>
    <row r="159" spans="1:15" x14ac:dyDescent="0.25">
      <c r="A159" t="s">
        <v>229</v>
      </c>
      <c r="B159" s="1">
        <v>45888</v>
      </c>
      <c r="C159" t="s">
        <v>16</v>
      </c>
      <c r="D159" t="s">
        <v>106</v>
      </c>
      <c r="E159" t="s">
        <v>107</v>
      </c>
      <c r="F159" t="s">
        <v>47</v>
      </c>
      <c r="G159" t="s">
        <v>20</v>
      </c>
      <c r="H159" t="s">
        <v>29</v>
      </c>
      <c r="I159" t="s">
        <v>48</v>
      </c>
      <c r="J159">
        <v>9</v>
      </c>
      <c r="K159">
        <v>70536</v>
      </c>
      <c r="L159">
        <v>0</v>
      </c>
      <c r="M159">
        <v>634824</v>
      </c>
      <c r="N159">
        <v>94490.15</v>
      </c>
      <c r="O159" t="s">
        <v>31</v>
      </c>
    </row>
    <row r="160" spans="1:15" x14ac:dyDescent="0.25">
      <c r="A160" t="s">
        <v>230</v>
      </c>
      <c r="B160" s="1">
        <v>45840</v>
      </c>
      <c r="C160" t="s">
        <v>65</v>
      </c>
      <c r="D160" t="s">
        <v>82</v>
      </c>
      <c r="E160" t="s">
        <v>83</v>
      </c>
      <c r="F160" t="s">
        <v>33</v>
      </c>
      <c r="G160" t="s">
        <v>28</v>
      </c>
      <c r="H160" t="s">
        <v>40</v>
      </c>
      <c r="I160" t="s">
        <v>59</v>
      </c>
      <c r="J160">
        <v>10</v>
      </c>
      <c r="K160">
        <v>19102</v>
      </c>
      <c r="L160">
        <v>15</v>
      </c>
      <c r="M160">
        <v>162367</v>
      </c>
      <c r="N160">
        <v>18008.25</v>
      </c>
      <c r="O160" t="s">
        <v>31</v>
      </c>
    </row>
    <row r="161" spans="1:15" x14ac:dyDescent="0.25">
      <c r="A161" t="s">
        <v>231</v>
      </c>
      <c r="B161" s="1">
        <v>45683</v>
      </c>
      <c r="C161" t="s">
        <v>25</v>
      </c>
      <c r="D161" t="s">
        <v>26</v>
      </c>
      <c r="E161" t="s">
        <v>27</v>
      </c>
      <c r="F161" t="s">
        <v>93</v>
      </c>
      <c r="G161" t="s">
        <v>28</v>
      </c>
      <c r="H161" t="s">
        <v>77</v>
      </c>
      <c r="I161" t="s">
        <v>100</v>
      </c>
      <c r="J161">
        <v>1</v>
      </c>
      <c r="K161">
        <v>45239</v>
      </c>
      <c r="L161">
        <v>15</v>
      </c>
      <c r="M161">
        <v>38453.15</v>
      </c>
      <c r="N161">
        <v>5910.52</v>
      </c>
      <c r="O161" t="s">
        <v>23</v>
      </c>
    </row>
    <row r="162" spans="1:15" x14ac:dyDescent="0.25">
      <c r="A162" t="s">
        <v>232</v>
      </c>
      <c r="B162" s="1">
        <v>45764</v>
      </c>
      <c r="C162" t="s">
        <v>25</v>
      </c>
      <c r="D162" t="s">
        <v>61</v>
      </c>
      <c r="E162" t="s">
        <v>62</v>
      </c>
      <c r="F162" t="s">
        <v>33</v>
      </c>
      <c r="G162" t="s">
        <v>20</v>
      </c>
      <c r="H162" t="s">
        <v>40</v>
      </c>
      <c r="I162" t="s">
        <v>41</v>
      </c>
      <c r="J162">
        <v>8</v>
      </c>
      <c r="K162">
        <v>62631</v>
      </c>
      <c r="L162">
        <v>10</v>
      </c>
      <c r="M162">
        <v>450943.2</v>
      </c>
      <c r="N162">
        <v>109500.58</v>
      </c>
      <c r="O162" t="s">
        <v>23</v>
      </c>
    </row>
    <row r="163" spans="1:15" x14ac:dyDescent="0.25">
      <c r="A163" t="s">
        <v>233</v>
      </c>
      <c r="B163" s="1">
        <v>45740</v>
      </c>
      <c r="C163" t="s">
        <v>25</v>
      </c>
      <c r="D163" t="s">
        <v>61</v>
      </c>
      <c r="E163" t="s">
        <v>62</v>
      </c>
      <c r="F163" t="s">
        <v>72</v>
      </c>
      <c r="G163" t="s">
        <v>20</v>
      </c>
      <c r="H163" t="s">
        <v>40</v>
      </c>
      <c r="I163" t="s">
        <v>59</v>
      </c>
      <c r="J163">
        <v>2</v>
      </c>
      <c r="K163">
        <v>62156</v>
      </c>
      <c r="L163">
        <v>15</v>
      </c>
      <c r="M163">
        <v>105665.2</v>
      </c>
      <c r="N163">
        <v>12910.75</v>
      </c>
      <c r="O163" t="s">
        <v>34</v>
      </c>
    </row>
    <row r="164" spans="1:15" x14ac:dyDescent="0.25">
      <c r="A164" t="s">
        <v>234</v>
      </c>
      <c r="B164" s="1">
        <v>45950</v>
      </c>
      <c r="C164" t="s">
        <v>36</v>
      </c>
      <c r="D164" t="s">
        <v>85</v>
      </c>
      <c r="E164" t="s">
        <v>86</v>
      </c>
      <c r="F164" t="s">
        <v>47</v>
      </c>
      <c r="G164" t="s">
        <v>20</v>
      </c>
      <c r="H164" t="s">
        <v>68</v>
      </c>
      <c r="I164" t="s">
        <v>69</v>
      </c>
      <c r="J164">
        <v>7</v>
      </c>
      <c r="K164">
        <v>22077</v>
      </c>
      <c r="L164">
        <v>0</v>
      </c>
      <c r="M164">
        <v>154539</v>
      </c>
      <c r="N164">
        <v>19579.3</v>
      </c>
      <c r="O164" t="s">
        <v>23</v>
      </c>
    </row>
    <row r="165" spans="1:15" x14ac:dyDescent="0.25">
      <c r="A165" t="s">
        <v>235</v>
      </c>
      <c r="B165" s="1">
        <v>45771</v>
      </c>
      <c r="C165" t="s">
        <v>25</v>
      </c>
      <c r="D165" t="s">
        <v>61</v>
      </c>
      <c r="E165" t="s">
        <v>62</v>
      </c>
      <c r="F165" t="s">
        <v>47</v>
      </c>
      <c r="G165" t="s">
        <v>28</v>
      </c>
      <c r="H165" t="s">
        <v>40</v>
      </c>
      <c r="I165" t="s">
        <v>41</v>
      </c>
      <c r="J165">
        <v>7</v>
      </c>
      <c r="K165">
        <v>72614</v>
      </c>
      <c r="L165">
        <v>15</v>
      </c>
      <c r="M165">
        <v>432053.3</v>
      </c>
      <c r="N165">
        <v>93198.97</v>
      </c>
      <c r="O165" t="s">
        <v>31</v>
      </c>
    </row>
    <row r="166" spans="1:15" x14ac:dyDescent="0.25">
      <c r="A166" t="s">
        <v>236</v>
      </c>
      <c r="B166" s="1">
        <v>45693</v>
      </c>
      <c r="C166" t="s">
        <v>65</v>
      </c>
      <c r="D166" t="s">
        <v>82</v>
      </c>
      <c r="E166" t="s">
        <v>83</v>
      </c>
      <c r="F166" t="s">
        <v>39</v>
      </c>
      <c r="G166" t="s">
        <v>28</v>
      </c>
      <c r="H166" t="s">
        <v>40</v>
      </c>
      <c r="I166" t="s">
        <v>80</v>
      </c>
      <c r="J166">
        <v>2</v>
      </c>
      <c r="K166">
        <v>61813</v>
      </c>
      <c r="L166">
        <v>5</v>
      </c>
      <c r="M166">
        <v>117444.7</v>
      </c>
      <c r="N166">
        <v>19424.02</v>
      </c>
      <c r="O166" t="s">
        <v>34</v>
      </c>
    </row>
    <row r="167" spans="1:15" x14ac:dyDescent="0.25">
      <c r="A167" t="s">
        <v>237</v>
      </c>
      <c r="B167" s="1">
        <v>45900</v>
      </c>
      <c r="C167" t="s">
        <v>36</v>
      </c>
      <c r="D167" t="s">
        <v>85</v>
      </c>
      <c r="E167" t="s">
        <v>86</v>
      </c>
      <c r="F167" t="s">
        <v>33</v>
      </c>
      <c r="G167" t="s">
        <v>20</v>
      </c>
      <c r="H167" t="s">
        <v>68</v>
      </c>
      <c r="I167" t="s">
        <v>90</v>
      </c>
      <c r="J167">
        <v>9</v>
      </c>
      <c r="K167">
        <v>20731</v>
      </c>
      <c r="L167">
        <v>10</v>
      </c>
      <c r="M167">
        <v>167921.1</v>
      </c>
      <c r="N167">
        <v>41279.120000000003</v>
      </c>
      <c r="O167" t="s">
        <v>23</v>
      </c>
    </row>
    <row r="168" spans="1:15" x14ac:dyDescent="0.25">
      <c r="A168" t="s">
        <v>238</v>
      </c>
      <c r="B168" s="1">
        <v>45969</v>
      </c>
      <c r="C168" t="s">
        <v>36</v>
      </c>
      <c r="D168" t="s">
        <v>85</v>
      </c>
      <c r="E168" t="s">
        <v>86</v>
      </c>
      <c r="F168" t="s">
        <v>63</v>
      </c>
      <c r="G168" t="s">
        <v>28</v>
      </c>
      <c r="H168" t="s">
        <v>21</v>
      </c>
      <c r="I168" t="s">
        <v>56</v>
      </c>
      <c r="J168">
        <v>8</v>
      </c>
      <c r="K168">
        <v>71160</v>
      </c>
      <c r="L168">
        <v>0</v>
      </c>
      <c r="M168">
        <v>569280</v>
      </c>
      <c r="N168">
        <v>55691.44</v>
      </c>
      <c r="O168" t="s">
        <v>23</v>
      </c>
    </row>
    <row r="169" spans="1:15" x14ac:dyDescent="0.25">
      <c r="A169" t="s">
        <v>239</v>
      </c>
      <c r="B169" s="1">
        <v>45795</v>
      </c>
      <c r="C169" t="s">
        <v>16</v>
      </c>
      <c r="D169" t="s">
        <v>17</v>
      </c>
      <c r="E169" t="s">
        <v>18</v>
      </c>
      <c r="F169" t="s">
        <v>52</v>
      </c>
      <c r="G169" t="s">
        <v>20</v>
      </c>
      <c r="H169" t="s">
        <v>40</v>
      </c>
      <c r="I169" t="s">
        <v>41</v>
      </c>
      <c r="J169">
        <v>9</v>
      </c>
      <c r="K169">
        <v>78633</v>
      </c>
      <c r="L169">
        <v>10</v>
      </c>
      <c r="M169">
        <v>636927.30000000005</v>
      </c>
      <c r="N169">
        <v>102912.75</v>
      </c>
      <c r="O169" t="s">
        <v>31</v>
      </c>
    </row>
    <row r="170" spans="1:15" x14ac:dyDescent="0.25">
      <c r="A170" t="s">
        <v>240</v>
      </c>
      <c r="B170" s="1">
        <v>45835</v>
      </c>
      <c r="C170" t="s">
        <v>25</v>
      </c>
      <c r="D170" t="s">
        <v>26</v>
      </c>
      <c r="E170" t="s">
        <v>27</v>
      </c>
      <c r="F170" t="s">
        <v>72</v>
      </c>
      <c r="G170" t="s">
        <v>20</v>
      </c>
      <c r="H170" t="s">
        <v>21</v>
      </c>
      <c r="I170" t="s">
        <v>22</v>
      </c>
      <c r="J170">
        <v>10</v>
      </c>
      <c r="K170">
        <v>63922</v>
      </c>
      <c r="L170">
        <v>15</v>
      </c>
      <c r="M170">
        <v>543337</v>
      </c>
      <c r="N170">
        <v>55401.52</v>
      </c>
      <c r="O170" t="s">
        <v>34</v>
      </c>
    </row>
    <row r="171" spans="1:15" x14ac:dyDescent="0.25">
      <c r="A171" t="s">
        <v>241</v>
      </c>
      <c r="B171" s="1">
        <v>45691</v>
      </c>
      <c r="C171" t="s">
        <v>65</v>
      </c>
      <c r="D171" t="s">
        <v>66</v>
      </c>
      <c r="E171" t="s">
        <v>67</v>
      </c>
      <c r="F171" t="s">
        <v>72</v>
      </c>
      <c r="G171" t="s">
        <v>28</v>
      </c>
      <c r="H171" t="s">
        <v>40</v>
      </c>
      <c r="I171" t="s">
        <v>41</v>
      </c>
      <c r="J171">
        <v>5</v>
      </c>
      <c r="K171">
        <v>39562</v>
      </c>
      <c r="L171">
        <v>20</v>
      </c>
      <c r="M171">
        <v>158248</v>
      </c>
      <c r="N171">
        <v>23970.02</v>
      </c>
      <c r="O171" t="s">
        <v>42</v>
      </c>
    </row>
    <row r="172" spans="1:15" x14ac:dyDescent="0.25">
      <c r="A172" t="s">
        <v>242</v>
      </c>
      <c r="B172" s="1">
        <v>45899</v>
      </c>
      <c r="C172" t="s">
        <v>65</v>
      </c>
      <c r="D172" t="s">
        <v>82</v>
      </c>
      <c r="E172" t="s">
        <v>83</v>
      </c>
      <c r="F172" t="s">
        <v>52</v>
      </c>
      <c r="G172" t="s">
        <v>20</v>
      </c>
      <c r="H172" t="s">
        <v>21</v>
      </c>
      <c r="I172" t="s">
        <v>45</v>
      </c>
      <c r="J172">
        <v>2</v>
      </c>
      <c r="K172">
        <v>2714</v>
      </c>
      <c r="L172">
        <v>20</v>
      </c>
      <c r="M172">
        <v>4342.3999999999996</v>
      </c>
      <c r="N172">
        <v>596.74</v>
      </c>
      <c r="O172" t="s">
        <v>31</v>
      </c>
    </row>
    <row r="173" spans="1:15" x14ac:dyDescent="0.25">
      <c r="A173" t="s">
        <v>243</v>
      </c>
      <c r="B173" s="1">
        <v>45672</v>
      </c>
      <c r="C173" t="s">
        <v>36</v>
      </c>
      <c r="D173" t="s">
        <v>85</v>
      </c>
      <c r="E173" t="s">
        <v>86</v>
      </c>
      <c r="F173" t="s">
        <v>33</v>
      </c>
      <c r="G173" t="s">
        <v>28</v>
      </c>
      <c r="H173" t="s">
        <v>40</v>
      </c>
      <c r="I173" t="s">
        <v>41</v>
      </c>
      <c r="J173">
        <v>1</v>
      </c>
      <c r="K173">
        <v>64206</v>
      </c>
      <c r="L173">
        <v>0</v>
      </c>
      <c r="M173">
        <v>64206</v>
      </c>
      <c r="N173">
        <v>9267.25</v>
      </c>
      <c r="O173" t="s">
        <v>34</v>
      </c>
    </row>
    <row r="174" spans="1:15" x14ac:dyDescent="0.25">
      <c r="A174" t="s">
        <v>244</v>
      </c>
      <c r="B174" s="1">
        <v>45791</v>
      </c>
      <c r="C174" t="s">
        <v>65</v>
      </c>
      <c r="D174" t="s">
        <v>82</v>
      </c>
      <c r="E174" t="s">
        <v>83</v>
      </c>
      <c r="F174" t="s">
        <v>33</v>
      </c>
      <c r="G174" t="s">
        <v>28</v>
      </c>
      <c r="H174" t="s">
        <v>77</v>
      </c>
      <c r="I174" t="s">
        <v>78</v>
      </c>
      <c r="J174">
        <v>6</v>
      </c>
      <c r="K174">
        <v>20478</v>
      </c>
      <c r="L174">
        <v>15</v>
      </c>
      <c r="M174">
        <v>104437.8</v>
      </c>
      <c r="N174">
        <v>15297.68</v>
      </c>
      <c r="O174" t="s">
        <v>34</v>
      </c>
    </row>
    <row r="175" spans="1:15" x14ac:dyDescent="0.25">
      <c r="A175" t="s">
        <v>245</v>
      </c>
      <c r="B175" s="1">
        <v>46016</v>
      </c>
      <c r="C175" t="s">
        <v>36</v>
      </c>
      <c r="D175" t="s">
        <v>85</v>
      </c>
      <c r="E175" t="s">
        <v>86</v>
      </c>
      <c r="F175" t="s">
        <v>93</v>
      </c>
      <c r="G175" t="s">
        <v>20</v>
      </c>
      <c r="H175" t="s">
        <v>77</v>
      </c>
      <c r="I175" t="s">
        <v>88</v>
      </c>
      <c r="J175">
        <v>6</v>
      </c>
      <c r="K175">
        <v>54733</v>
      </c>
      <c r="L175">
        <v>0</v>
      </c>
      <c r="M175">
        <v>328398</v>
      </c>
      <c r="N175">
        <v>78352.179999999993</v>
      </c>
      <c r="O175" t="s">
        <v>42</v>
      </c>
    </row>
    <row r="176" spans="1:15" x14ac:dyDescent="0.25">
      <c r="A176" t="s">
        <v>246</v>
      </c>
      <c r="B176" s="1">
        <v>45851</v>
      </c>
      <c r="C176" t="s">
        <v>65</v>
      </c>
      <c r="D176" t="s">
        <v>66</v>
      </c>
      <c r="E176" t="s">
        <v>67</v>
      </c>
      <c r="F176" t="s">
        <v>19</v>
      </c>
      <c r="G176" t="s">
        <v>28</v>
      </c>
      <c r="H176" t="s">
        <v>40</v>
      </c>
      <c r="I176" t="s">
        <v>41</v>
      </c>
      <c r="J176">
        <v>6</v>
      </c>
      <c r="K176">
        <v>1700</v>
      </c>
      <c r="L176">
        <v>10</v>
      </c>
      <c r="M176">
        <v>9180</v>
      </c>
      <c r="N176">
        <v>1921.9</v>
      </c>
      <c r="O176" t="s">
        <v>31</v>
      </c>
    </row>
    <row r="177" spans="1:15" x14ac:dyDescent="0.25">
      <c r="A177" t="s">
        <v>247</v>
      </c>
      <c r="B177" s="1">
        <v>45682</v>
      </c>
      <c r="C177" t="s">
        <v>25</v>
      </c>
      <c r="D177" t="s">
        <v>26</v>
      </c>
      <c r="E177" t="s">
        <v>27</v>
      </c>
      <c r="F177" t="s">
        <v>19</v>
      </c>
      <c r="G177" t="s">
        <v>20</v>
      </c>
      <c r="H177" t="s">
        <v>77</v>
      </c>
      <c r="I177" t="s">
        <v>78</v>
      </c>
      <c r="J177">
        <v>7</v>
      </c>
      <c r="K177">
        <v>20958</v>
      </c>
      <c r="L177">
        <v>0</v>
      </c>
      <c r="M177">
        <v>146706</v>
      </c>
      <c r="N177">
        <v>24083.18</v>
      </c>
      <c r="O177" t="s">
        <v>34</v>
      </c>
    </row>
    <row r="178" spans="1:15" x14ac:dyDescent="0.25">
      <c r="A178" t="s">
        <v>248</v>
      </c>
      <c r="B178" s="1">
        <v>45749</v>
      </c>
      <c r="C178" t="s">
        <v>25</v>
      </c>
      <c r="D178" t="s">
        <v>61</v>
      </c>
      <c r="E178" t="s">
        <v>62</v>
      </c>
      <c r="F178" t="s">
        <v>52</v>
      </c>
      <c r="G178" t="s">
        <v>28</v>
      </c>
      <c r="H178" t="s">
        <v>29</v>
      </c>
      <c r="I178" t="s">
        <v>53</v>
      </c>
      <c r="J178">
        <v>7</v>
      </c>
      <c r="K178">
        <v>42206</v>
      </c>
      <c r="L178">
        <v>5</v>
      </c>
      <c r="M178">
        <v>280669.90000000002</v>
      </c>
      <c r="N178">
        <v>48882.95</v>
      </c>
      <c r="O178" t="s">
        <v>34</v>
      </c>
    </row>
    <row r="179" spans="1:15" x14ac:dyDescent="0.25">
      <c r="A179" t="s">
        <v>249</v>
      </c>
      <c r="B179" s="1">
        <v>45741</v>
      </c>
      <c r="C179" t="s">
        <v>36</v>
      </c>
      <c r="D179" t="s">
        <v>37</v>
      </c>
      <c r="E179" t="s">
        <v>38</v>
      </c>
      <c r="F179" t="s">
        <v>47</v>
      </c>
      <c r="G179" t="s">
        <v>28</v>
      </c>
      <c r="H179" t="s">
        <v>21</v>
      </c>
      <c r="I179" t="s">
        <v>45</v>
      </c>
      <c r="J179">
        <v>4</v>
      </c>
      <c r="K179">
        <v>1496</v>
      </c>
      <c r="L179">
        <v>10</v>
      </c>
      <c r="M179">
        <v>5385.6</v>
      </c>
      <c r="N179">
        <v>1099.24</v>
      </c>
      <c r="O179" t="s">
        <v>34</v>
      </c>
    </row>
    <row r="180" spans="1:15" x14ac:dyDescent="0.25">
      <c r="A180" t="s">
        <v>250</v>
      </c>
      <c r="B180" s="1">
        <v>45992</v>
      </c>
      <c r="C180" t="s">
        <v>25</v>
      </c>
      <c r="D180" t="s">
        <v>61</v>
      </c>
      <c r="E180" t="s">
        <v>62</v>
      </c>
      <c r="F180" t="s">
        <v>93</v>
      </c>
      <c r="G180" t="s">
        <v>28</v>
      </c>
      <c r="H180" t="s">
        <v>68</v>
      </c>
      <c r="I180" t="s">
        <v>69</v>
      </c>
      <c r="J180">
        <v>4</v>
      </c>
      <c r="K180">
        <v>4024</v>
      </c>
      <c r="L180">
        <v>20</v>
      </c>
      <c r="M180">
        <v>12876.8</v>
      </c>
      <c r="N180">
        <v>2571.39</v>
      </c>
      <c r="O180" t="s">
        <v>31</v>
      </c>
    </row>
    <row r="181" spans="1:15" x14ac:dyDescent="0.25">
      <c r="A181" t="s">
        <v>251</v>
      </c>
      <c r="B181" s="1">
        <v>45941</v>
      </c>
      <c r="C181" t="s">
        <v>25</v>
      </c>
      <c r="D181" t="s">
        <v>61</v>
      </c>
      <c r="E181" t="s">
        <v>62</v>
      </c>
      <c r="F181" t="s">
        <v>52</v>
      </c>
      <c r="G181" t="s">
        <v>20</v>
      </c>
      <c r="H181" t="s">
        <v>68</v>
      </c>
      <c r="I181" t="s">
        <v>94</v>
      </c>
      <c r="J181">
        <v>3</v>
      </c>
      <c r="K181">
        <v>62646</v>
      </c>
      <c r="L181">
        <v>10</v>
      </c>
      <c r="M181">
        <v>169144.2</v>
      </c>
      <c r="N181">
        <v>17547.490000000002</v>
      </c>
      <c r="O181" t="s">
        <v>34</v>
      </c>
    </row>
    <row r="182" spans="1:15" x14ac:dyDescent="0.25">
      <c r="A182" t="s">
        <v>252</v>
      </c>
      <c r="B182" s="1">
        <v>45855</v>
      </c>
      <c r="C182" t="s">
        <v>65</v>
      </c>
      <c r="D182" t="s">
        <v>66</v>
      </c>
      <c r="E182" t="s">
        <v>67</v>
      </c>
      <c r="F182" t="s">
        <v>52</v>
      </c>
      <c r="G182" t="s">
        <v>28</v>
      </c>
      <c r="H182" t="s">
        <v>77</v>
      </c>
      <c r="I182" t="s">
        <v>78</v>
      </c>
      <c r="J182">
        <v>7</v>
      </c>
      <c r="K182">
        <v>51934</v>
      </c>
      <c r="L182">
        <v>10</v>
      </c>
      <c r="M182">
        <v>327184.2</v>
      </c>
      <c r="N182">
        <v>59621.21</v>
      </c>
      <c r="O182" t="s">
        <v>23</v>
      </c>
    </row>
    <row r="183" spans="1:15" x14ac:dyDescent="0.25">
      <c r="A183" t="s">
        <v>253</v>
      </c>
      <c r="B183" s="1">
        <v>45761</v>
      </c>
      <c r="C183" t="s">
        <v>65</v>
      </c>
      <c r="D183" t="s">
        <v>66</v>
      </c>
      <c r="E183" t="s">
        <v>67</v>
      </c>
      <c r="F183" t="s">
        <v>47</v>
      </c>
      <c r="G183" t="s">
        <v>20</v>
      </c>
      <c r="H183" t="s">
        <v>29</v>
      </c>
      <c r="I183" t="s">
        <v>53</v>
      </c>
      <c r="J183">
        <v>8</v>
      </c>
      <c r="K183">
        <v>46857</v>
      </c>
      <c r="L183">
        <v>5</v>
      </c>
      <c r="M183">
        <v>356113.2</v>
      </c>
      <c r="N183">
        <v>66477.100000000006</v>
      </c>
      <c r="O183" t="s">
        <v>23</v>
      </c>
    </row>
    <row r="184" spans="1:15" x14ac:dyDescent="0.25">
      <c r="A184" t="s">
        <v>254</v>
      </c>
      <c r="B184" s="1">
        <v>45744</v>
      </c>
      <c r="C184" t="s">
        <v>36</v>
      </c>
      <c r="D184" t="s">
        <v>85</v>
      </c>
      <c r="E184" t="s">
        <v>86</v>
      </c>
      <c r="F184" t="s">
        <v>52</v>
      </c>
      <c r="G184" t="s">
        <v>28</v>
      </c>
      <c r="H184" t="s">
        <v>68</v>
      </c>
      <c r="I184" t="s">
        <v>90</v>
      </c>
      <c r="J184">
        <v>2</v>
      </c>
      <c r="K184">
        <v>19963</v>
      </c>
      <c r="L184">
        <v>20</v>
      </c>
      <c r="M184">
        <v>31940.799999999999</v>
      </c>
      <c r="N184">
        <v>7730.69</v>
      </c>
      <c r="O184" t="s">
        <v>23</v>
      </c>
    </row>
    <row r="185" spans="1:15" x14ac:dyDescent="0.25">
      <c r="A185" t="s">
        <v>255</v>
      </c>
      <c r="B185" s="1">
        <v>45661</v>
      </c>
      <c r="C185" t="s">
        <v>16</v>
      </c>
      <c r="D185" t="s">
        <v>106</v>
      </c>
      <c r="E185" t="s">
        <v>107</v>
      </c>
      <c r="F185" t="s">
        <v>52</v>
      </c>
      <c r="G185" t="s">
        <v>28</v>
      </c>
      <c r="H185" t="s">
        <v>21</v>
      </c>
      <c r="I185" t="s">
        <v>22</v>
      </c>
      <c r="J185">
        <v>1</v>
      </c>
      <c r="K185">
        <v>16881</v>
      </c>
      <c r="L185">
        <v>5</v>
      </c>
      <c r="M185">
        <v>16036.95</v>
      </c>
      <c r="N185">
        <v>1862.35</v>
      </c>
      <c r="O185" t="s">
        <v>34</v>
      </c>
    </row>
    <row r="186" spans="1:15" x14ac:dyDescent="0.25">
      <c r="A186" t="s">
        <v>256</v>
      </c>
      <c r="B186" s="1">
        <v>45884</v>
      </c>
      <c r="C186" t="s">
        <v>65</v>
      </c>
      <c r="D186" t="s">
        <v>66</v>
      </c>
      <c r="E186" t="s">
        <v>67</v>
      </c>
      <c r="F186" t="s">
        <v>19</v>
      </c>
      <c r="G186" t="s">
        <v>20</v>
      </c>
      <c r="H186" t="s">
        <v>29</v>
      </c>
      <c r="I186" t="s">
        <v>30</v>
      </c>
      <c r="J186">
        <v>8</v>
      </c>
      <c r="K186">
        <v>44782</v>
      </c>
      <c r="L186">
        <v>5</v>
      </c>
      <c r="M186">
        <v>340343.2</v>
      </c>
      <c r="N186">
        <v>44775.48</v>
      </c>
      <c r="O186" t="s">
        <v>34</v>
      </c>
    </row>
    <row r="187" spans="1:15" x14ac:dyDescent="0.25">
      <c r="A187" t="s">
        <v>257</v>
      </c>
      <c r="B187" s="1">
        <v>45690</v>
      </c>
      <c r="C187" t="s">
        <v>36</v>
      </c>
      <c r="D187" t="s">
        <v>37</v>
      </c>
      <c r="E187" t="s">
        <v>38</v>
      </c>
      <c r="F187" t="s">
        <v>72</v>
      </c>
      <c r="G187" t="s">
        <v>28</v>
      </c>
      <c r="H187" t="s">
        <v>21</v>
      </c>
      <c r="I187" t="s">
        <v>56</v>
      </c>
      <c r="J187">
        <v>4</v>
      </c>
      <c r="K187">
        <v>58371</v>
      </c>
      <c r="L187">
        <v>0</v>
      </c>
      <c r="M187">
        <v>233484</v>
      </c>
      <c r="N187">
        <v>36575.03</v>
      </c>
      <c r="O187" t="s">
        <v>31</v>
      </c>
    </row>
    <row r="188" spans="1:15" x14ac:dyDescent="0.25">
      <c r="A188" t="s">
        <v>258</v>
      </c>
      <c r="B188" s="1">
        <v>45881</v>
      </c>
      <c r="C188" t="s">
        <v>25</v>
      </c>
      <c r="D188" t="s">
        <v>26</v>
      </c>
      <c r="E188" t="s">
        <v>27</v>
      </c>
      <c r="F188" t="s">
        <v>93</v>
      </c>
      <c r="G188" t="s">
        <v>28</v>
      </c>
      <c r="H188" t="s">
        <v>21</v>
      </c>
      <c r="I188" t="s">
        <v>22</v>
      </c>
      <c r="J188">
        <v>1</v>
      </c>
      <c r="K188">
        <v>34143</v>
      </c>
      <c r="L188">
        <v>20</v>
      </c>
      <c r="M188">
        <v>27314.400000000001</v>
      </c>
      <c r="N188">
        <v>6696.8</v>
      </c>
      <c r="O188" t="s">
        <v>34</v>
      </c>
    </row>
    <row r="189" spans="1:15" x14ac:dyDescent="0.25">
      <c r="A189" t="s">
        <v>259</v>
      </c>
      <c r="B189" s="1">
        <v>45923</v>
      </c>
      <c r="C189" t="s">
        <v>16</v>
      </c>
      <c r="D189" t="s">
        <v>106</v>
      </c>
      <c r="E189" t="s">
        <v>107</v>
      </c>
      <c r="F189" t="s">
        <v>93</v>
      </c>
      <c r="G189" t="s">
        <v>20</v>
      </c>
      <c r="H189" t="s">
        <v>68</v>
      </c>
      <c r="I189" t="s">
        <v>69</v>
      </c>
      <c r="J189">
        <v>8</v>
      </c>
      <c r="K189">
        <v>46680</v>
      </c>
      <c r="L189">
        <v>0</v>
      </c>
      <c r="M189">
        <v>373440</v>
      </c>
      <c r="N189">
        <v>88280.58</v>
      </c>
      <c r="O189" t="s">
        <v>42</v>
      </c>
    </row>
    <row r="190" spans="1:15" x14ac:dyDescent="0.25">
      <c r="A190" t="s">
        <v>260</v>
      </c>
      <c r="B190" s="1">
        <v>45760</v>
      </c>
      <c r="C190" t="s">
        <v>25</v>
      </c>
      <c r="D190" t="s">
        <v>61</v>
      </c>
      <c r="E190" t="s">
        <v>62</v>
      </c>
      <c r="F190" t="s">
        <v>63</v>
      </c>
      <c r="G190" t="s">
        <v>28</v>
      </c>
      <c r="H190" t="s">
        <v>40</v>
      </c>
      <c r="I190" t="s">
        <v>80</v>
      </c>
      <c r="J190">
        <v>4</v>
      </c>
      <c r="K190">
        <v>30360</v>
      </c>
      <c r="L190">
        <v>10</v>
      </c>
      <c r="M190">
        <v>109296</v>
      </c>
      <c r="N190">
        <v>13075.49</v>
      </c>
      <c r="O190" t="s">
        <v>34</v>
      </c>
    </row>
    <row r="191" spans="1:15" x14ac:dyDescent="0.25">
      <c r="A191" t="s">
        <v>261</v>
      </c>
      <c r="B191" s="1">
        <v>45934</v>
      </c>
      <c r="C191" t="s">
        <v>25</v>
      </c>
      <c r="D191" t="s">
        <v>61</v>
      </c>
      <c r="E191" t="s">
        <v>62</v>
      </c>
      <c r="F191" t="s">
        <v>52</v>
      </c>
      <c r="G191" t="s">
        <v>20</v>
      </c>
      <c r="H191" t="s">
        <v>21</v>
      </c>
      <c r="I191" t="s">
        <v>22</v>
      </c>
      <c r="J191">
        <v>10</v>
      </c>
      <c r="K191">
        <v>18007</v>
      </c>
      <c r="L191">
        <v>15</v>
      </c>
      <c r="M191">
        <v>153059.5</v>
      </c>
      <c r="N191">
        <v>21030.71</v>
      </c>
      <c r="O191" t="s">
        <v>31</v>
      </c>
    </row>
    <row r="192" spans="1:15" x14ac:dyDescent="0.25">
      <c r="A192" t="s">
        <v>262</v>
      </c>
      <c r="B192" s="1">
        <v>45776</v>
      </c>
      <c r="C192" t="s">
        <v>25</v>
      </c>
      <c r="D192" t="s">
        <v>61</v>
      </c>
      <c r="E192" t="s">
        <v>62</v>
      </c>
      <c r="F192" t="s">
        <v>47</v>
      </c>
      <c r="G192" t="s">
        <v>28</v>
      </c>
      <c r="H192" t="s">
        <v>77</v>
      </c>
      <c r="I192" t="s">
        <v>88</v>
      </c>
      <c r="J192">
        <v>8</v>
      </c>
      <c r="K192">
        <v>30513</v>
      </c>
      <c r="L192">
        <v>15</v>
      </c>
      <c r="M192">
        <v>207488.4</v>
      </c>
      <c r="N192">
        <v>20256.78</v>
      </c>
      <c r="O192" t="s">
        <v>31</v>
      </c>
    </row>
    <row r="193" spans="1:15" x14ac:dyDescent="0.25">
      <c r="A193" t="s">
        <v>263</v>
      </c>
      <c r="B193" s="1">
        <v>45957</v>
      </c>
      <c r="C193" t="s">
        <v>16</v>
      </c>
      <c r="D193" t="s">
        <v>106</v>
      </c>
      <c r="E193" t="s">
        <v>107</v>
      </c>
      <c r="F193" t="s">
        <v>39</v>
      </c>
      <c r="G193" t="s">
        <v>28</v>
      </c>
      <c r="H193" t="s">
        <v>40</v>
      </c>
      <c r="I193" t="s">
        <v>59</v>
      </c>
      <c r="J193">
        <v>10</v>
      </c>
      <c r="K193">
        <v>16209</v>
      </c>
      <c r="L193">
        <v>15</v>
      </c>
      <c r="M193">
        <v>137776.5</v>
      </c>
      <c r="N193">
        <v>20313.400000000001</v>
      </c>
      <c r="O193" t="s">
        <v>23</v>
      </c>
    </row>
    <row r="194" spans="1:15" x14ac:dyDescent="0.25">
      <c r="A194" t="s">
        <v>264</v>
      </c>
      <c r="B194" s="1">
        <v>45777</v>
      </c>
      <c r="C194" t="s">
        <v>36</v>
      </c>
      <c r="D194" t="s">
        <v>37</v>
      </c>
      <c r="E194" t="s">
        <v>38</v>
      </c>
      <c r="F194" t="s">
        <v>33</v>
      </c>
      <c r="G194" t="s">
        <v>20</v>
      </c>
      <c r="H194" t="s">
        <v>29</v>
      </c>
      <c r="I194" t="s">
        <v>53</v>
      </c>
      <c r="J194">
        <v>1</v>
      </c>
      <c r="K194">
        <v>4533</v>
      </c>
      <c r="L194">
        <v>20</v>
      </c>
      <c r="M194">
        <v>3626.4</v>
      </c>
      <c r="N194">
        <v>534.07000000000005</v>
      </c>
      <c r="O194" t="s">
        <v>34</v>
      </c>
    </row>
    <row r="195" spans="1:15" x14ac:dyDescent="0.25">
      <c r="A195" t="s">
        <v>265</v>
      </c>
      <c r="B195" s="1">
        <v>45902</v>
      </c>
      <c r="C195" t="s">
        <v>25</v>
      </c>
      <c r="D195" t="s">
        <v>26</v>
      </c>
      <c r="E195" t="s">
        <v>27</v>
      </c>
      <c r="F195" t="s">
        <v>47</v>
      </c>
      <c r="G195" t="s">
        <v>20</v>
      </c>
      <c r="H195" t="s">
        <v>77</v>
      </c>
      <c r="I195" t="s">
        <v>100</v>
      </c>
      <c r="J195">
        <v>4</v>
      </c>
      <c r="K195">
        <v>49981</v>
      </c>
      <c r="L195">
        <v>10</v>
      </c>
      <c r="M195">
        <v>179931.6</v>
      </c>
      <c r="N195">
        <v>20400.64</v>
      </c>
      <c r="O195" t="s">
        <v>31</v>
      </c>
    </row>
    <row r="196" spans="1:15" x14ac:dyDescent="0.25">
      <c r="A196" t="s">
        <v>266</v>
      </c>
      <c r="B196" s="1">
        <v>45705</v>
      </c>
      <c r="C196" t="s">
        <v>25</v>
      </c>
      <c r="D196" t="s">
        <v>26</v>
      </c>
      <c r="E196" t="s">
        <v>27</v>
      </c>
      <c r="F196" t="s">
        <v>72</v>
      </c>
      <c r="G196" t="s">
        <v>28</v>
      </c>
      <c r="H196" t="s">
        <v>21</v>
      </c>
      <c r="I196" t="s">
        <v>45</v>
      </c>
      <c r="J196">
        <v>3</v>
      </c>
      <c r="K196">
        <v>45270</v>
      </c>
      <c r="L196">
        <v>5</v>
      </c>
      <c r="M196">
        <v>129019.5</v>
      </c>
      <c r="N196">
        <v>15908.95</v>
      </c>
      <c r="O196" t="s">
        <v>31</v>
      </c>
    </row>
    <row r="197" spans="1:15" x14ac:dyDescent="0.25">
      <c r="A197" t="s">
        <v>267</v>
      </c>
      <c r="B197" s="1">
        <v>45850</v>
      </c>
      <c r="C197" t="s">
        <v>25</v>
      </c>
      <c r="D197" t="s">
        <v>26</v>
      </c>
      <c r="E197" t="s">
        <v>27</v>
      </c>
      <c r="F197" t="s">
        <v>39</v>
      </c>
      <c r="G197" t="s">
        <v>20</v>
      </c>
      <c r="H197" t="s">
        <v>21</v>
      </c>
      <c r="I197" t="s">
        <v>22</v>
      </c>
      <c r="J197">
        <v>6</v>
      </c>
      <c r="K197">
        <v>67184</v>
      </c>
      <c r="L197">
        <v>0</v>
      </c>
      <c r="M197">
        <v>403104</v>
      </c>
      <c r="N197">
        <v>46464.18</v>
      </c>
      <c r="O197" t="s">
        <v>31</v>
      </c>
    </row>
    <row r="198" spans="1:15" x14ac:dyDescent="0.25">
      <c r="A198" t="s">
        <v>268</v>
      </c>
      <c r="B198" s="1">
        <v>45870</v>
      </c>
      <c r="C198" t="s">
        <v>25</v>
      </c>
      <c r="D198" t="s">
        <v>26</v>
      </c>
      <c r="E198" t="s">
        <v>27</v>
      </c>
      <c r="F198" t="s">
        <v>63</v>
      </c>
      <c r="G198" t="s">
        <v>20</v>
      </c>
      <c r="H198" t="s">
        <v>29</v>
      </c>
      <c r="I198" t="s">
        <v>30</v>
      </c>
      <c r="J198">
        <v>2</v>
      </c>
      <c r="K198">
        <v>13116</v>
      </c>
      <c r="L198">
        <v>0</v>
      </c>
      <c r="M198">
        <v>26232</v>
      </c>
      <c r="N198">
        <v>5060.41</v>
      </c>
      <c r="O198" t="s">
        <v>34</v>
      </c>
    </row>
    <row r="199" spans="1:15" x14ac:dyDescent="0.25">
      <c r="A199" t="s">
        <v>269</v>
      </c>
      <c r="B199" s="1">
        <v>45718</v>
      </c>
      <c r="C199" t="s">
        <v>65</v>
      </c>
      <c r="D199" t="s">
        <v>66</v>
      </c>
      <c r="E199" t="s">
        <v>67</v>
      </c>
      <c r="F199" t="s">
        <v>19</v>
      </c>
      <c r="G199" t="s">
        <v>20</v>
      </c>
      <c r="H199" t="s">
        <v>68</v>
      </c>
      <c r="I199" t="s">
        <v>94</v>
      </c>
      <c r="J199">
        <v>10</v>
      </c>
      <c r="K199">
        <v>23157</v>
      </c>
      <c r="L199">
        <v>0</v>
      </c>
      <c r="M199">
        <v>231570</v>
      </c>
      <c r="N199">
        <v>42282.99</v>
      </c>
      <c r="O199" t="s">
        <v>31</v>
      </c>
    </row>
    <row r="200" spans="1:15" x14ac:dyDescent="0.25">
      <c r="A200" t="s">
        <v>270</v>
      </c>
      <c r="B200" s="1">
        <v>45862</v>
      </c>
      <c r="C200" t="s">
        <v>65</v>
      </c>
      <c r="D200" t="s">
        <v>66</v>
      </c>
      <c r="E200" t="s">
        <v>67</v>
      </c>
      <c r="F200" t="s">
        <v>39</v>
      </c>
      <c r="G200" t="s">
        <v>20</v>
      </c>
      <c r="H200" t="s">
        <v>40</v>
      </c>
      <c r="I200" t="s">
        <v>41</v>
      </c>
      <c r="J200">
        <v>6</v>
      </c>
      <c r="K200">
        <v>24370</v>
      </c>
      <c r="L200">
        <v>0</v>
      </c>
      <c r="M200">
        <v>146220</v>
      </c>
      <c r="N200">
        <v>29257.09</v>
      </c>
      <c r="O200" t="s">
        <v>31</v>
      </c>
    </row>
    <row r="201" spans="1:15" x14ac:dyDescent="0.25">
      <c r="A201" t="s">
        <v>271</v>
      </c>
      <c r="B201" s="1">
        <v>45697</v>
      </c>
      <c r="C201" t="s">
        <v>36</v>
      </c>
      <c r="D201" t="s">
        <v>50</v>
      </c>
      <c r="E201" t="s">
        <v>51</v>
      </c>
      <c r="F201" t="s">
        <v>19</v>
      </c>
      <c r="G201" t="s">
        <v>20</v>
      </c>
      <c r="H201" t="s">
        <v>29</v>
      </c>
      <c r="I201" t="s">
        <v>53</v>
      </c>
      <c r="J201">
        <v>4</v>
      </c>
      <c r="K201">
        <v>17748</v>
      </c>
      <c r="L201">
        <v>5</v>
      </c>
      <c r="M201">
        <v>67442.399999999994</v>
      </c>
      <c r="N201">
        <v>8932.81</v>
      </c>
      <c r="O201" t="s">
        <v>23</v>
      </c>
    </row>
    <row r="202" spans="1:15" x14ac:dyDescent="0.25">
      <c r="A202" t="s">
        <v>272</v>
      </c>
      <c r="B202" s="1">
        <v>45803</v>
      </c>
      <c r="C202" t="s">
        <v>16</v>
      </c>
      <c r="D202" t="s">
        <v>17</v>
      </c>
      <c r="E202" t="s">
        <v>18</v>
      </c>
      <c r="F202" t="s">
        <v>63</v>
      </c>
      <c r="G202" t="s">
        <v>20</v>
      </c>
      <c r="H202" t="s">
        <v>21</v>
      </c>
      <c r="I202" t="s">
        <v>45</v>
      </c>
      <c r="J202">
        <v>3</v>
      </c>
      <c r="K202">
        <v>3020</v>
      </c>
      <c r="L202">
        <v>5</v>
      </c>
      <c r="M202">
        <v>8607</v>
      </c>
      <c r="N202">
        <v>1748.25</v>
      </c>
      <c r="O202" t="s">
        <v>34</v>
      </c>
    </row>
    <row r="203" spans="1:15" x14ac:dyDescent="0.25">
      <c r="A203" t="s">
        <v>273</v>
      </c>
      <c r="B203" s="1">
        <v>45924</v>
      </c>
      <c r="C203" t="s">
        <v>25</v>
      </c>
      <c r="D203" t="s">
        <v>26</v>
      </c>
      <c r="E203" t="s">
        <v>27</v>
      </c>
      <c r="F203" t="s">
        <v>33</v>
      </c>
      <c r="G203" t="s">
        <v>28</v>
      </c>
      <c r="H203" t="s">
        <v>68</v>
      </c>
      <c r="I203" t="s">
        <v>90</v>
      </c>
      <c r="J203">
        <v>6</v>
      </c>
      <c r="K203">
        <v>1116</v>
      </c>
      <c r="L203">
        <v>5</v>
      </c>
      <c r="M203">
        <v>6361.2</v>
      </c>
      <c r="N203">
        <v>1339.33</v>
      </c>
      <c r="O203" t="s">
        <v>31</v>
      </c>
    </row>
    <row r="204" spans="1:15" x14ac:dyDescent="0.25">
      <c r="A204" t="s">
        <v>274</v>
      </c>
      <c r="B204" s="1">
        <v>45893</v>
      </c>
      <c r="C204" t="s">
        <v>25</v>
      </c>
      <c r="D204" t="s">
        <v>26</v>
      </c>
      <c r="E204" t="s">
        <v>27</v>
      </c>
      <c r="F204" t="s">
        <v>52</v>
      </c>
      <c r="G204" t="s">
        <v>28</v>
      </c>
      <c r="H204" t="s">
        <v>68</v>
      </c>
      <c r="I204" t="s">
        <v>90</v>
      </c>
      <c r="J204">
        <v>5</v>
      </c>
      <c r="K204">
        <v>32284</v>
      </c>
      <c r="L204">
        <v>10</v>
      </c>
      <c r="M204">
        <v>145278</v>
      </c>
      <c r="N204">
        <v>19563.23</v>
      </c>
      <c r="O204" t="s">
        <v>31</v>
      </c>
    </row>
    <row r="205" spans="1:15" x14ac:dyDescent="0.25">
      <c r="A205" t="s">
        <v>275</v>
      </c>
      <c r="B205" s="1">
        <v>45704</v>
      </c>
      <c r="C205" t="s">
        <v>16</v>
      </c>
      <c r="D205" t="s">
        <v>17</v>
      </c>
      <c r="E205" t="s">
        <v>18</v>
      </c>
      <c r="F205" t="s">
        <v>19</v>
      </c>
      <c r="G205" t="s">
        <v>20</v>
      </c>
      <c r="H205" t="s">
        <v>21</v>
      </c>
      <c r="I205" t="s">
        <v>56</v>
      </c>
      <c r="J205">
        <v>2</v>
      </c>
      <c r="K205">
        <v>23516</v>
      </c>
      <c r="L205">
        <v>10</v>
      </c>
      <c r="M205">
        <v>42328.800000000003</v>
      </c>
      <c r="N205">
        <v>3526.32</v>
      </c>
      <c r="O205" t="s">
        <v>42</v>
      </c>
    </row>
    <row r="206" spans="1:15" x14ac:dyDescent="0.25">
      <c r="A206" t="s">
        <v>276</v>
      </c>
      <c r="B206" s="1">
        <v>46010</v>
      </c>
      <c r="C206" t="s">
        <v>36</v>
      </c>
      <c r="D206" t="s">
        <v>37</v>
      </c>
      <c r="E206" t="s">
        <v>38</v>
      </c>
      <c r="F206" t="s">
        <v>39</v>
      </c>
      <c r="G206" t="s">
        <v>28</v>
      </c>
      <c r="H206" t="s">
        <v>21</v>
      </c>
      <c r="I206" t="s">
        <v>45</v>
      </c>
      <c r="J206">
        <v>9</v>
      </c>
      <c r="K206">
        <v>33281</v>
      </c>
      <c r="L206">
        <v>20</v>
      </c>
      <c r="M206">
        <v>239623.2</v>
      </c>
      <c r="N206">
        <v>45462.31</v>
      </c>
      <c r="O206" t="s">
        <v>34</v>
      </c>
    </row>
    <row r="207" spans="1:15" x14ac:dyDescent="0.25">
      <c r="A207" t="s">
        <v>277</v>
      </c>
      <c r="B207" s="1">
        <v>45843</v>
      </c>
      <c r="C207" t="s">
        <v>36</v>
      </c>
      <c r="D207" t="s">
        <v>50</v>
      </c>
      <c r="E207" t="s">
        <v>51</v>
      </c>
      <c r="F207" t="s">
        <v>39</v>
      </c>
      <c r="G207" t="s">
        <v>20</v>
      </c>
      <c r="H207" t="s">
        <v>21</v>
      </c>
      <c r="I207" t="s">
        <v>45</v>
      </c>
      <c r="J207">
        <v>1</v>
      </c>
      <c r="K207">
        <v>45804</v>
      </c>
      <c r="L207">
        <v>15</v>
      </c>
      <c r="M207">
        <v>38933.4</v>
      </c>
      <c r="N207">
        <v>5809.98</v>
      </c>
      <c r="O207" t="s">
        <v>42</v>
      </c>
    </row>
    <row r="208" spans="1:15" x14ac:dyDescent="0.25">
      <c r="A208" t="s">
        <v>278</v>
      </c>
      <c r="B208" s="1">
        <v>45812</v>
      </c>
      <c r="C208" t="s">
        <v>36</v>
      </c>
      <c r="D208" t="s">
        <v>85</v>
      </c>
      <c r="E208" t="s">
        <v>86</v>
      </c>
      <c r="F208" t="s">
        <v>93</v>
      </c>
      <c r="G208" t="s">
        <v>20</v>
      </c>
      <c r="H208" t="s">
        <v>21</v>
      </c>
      <c r="I208" t="s">
        <v>22</v>
      </c>
      <c r="J208">
        <v>5</v>
      </c>
      <c r="K208">
        <v>18756</v>
      </c>
      <c r="L208">
        <v>5</v>
      </c>
      <c r="M208">
        <v>89091</v>
      </c>
      <c r="N208">
        <v>14199.82</v>
      </c>
      <c r="O208" t="s">
        <v>23</v>
      </c>
    </row>
    <row r="209" spans="1:15" x14ac:dyDescent="0.25">
      <c r="A209" t="s">
        <v>279</v>
      </c>
      <c r="B209" s="1">
        <v>45857</v>
      </c>
      <c r="C209" t="s">
        <v>16</v>
      </c>
      <c r="D209" t="s">
        <v>17</v>
      </c>
      <c r="E209" t="s">
        <v>18</v>
      </c>
      <c r="F209" t="s">
        <v>63</v>
      </c>
      <c r="G209" t="s">
        <v>28</v>
      </c>
      <c r="H209" t="s">
        <v>21</v>
      </c>
      <c r="I209" t="s">
        <v>45</v>
      </c>
      <c r="J209">
        <v>3</v>
      </c>
      <c r="K209">
        <v>41630</v>
      </c>
      <c r="L209">
        <v>15</v>
      </c>
      <c r="M209">
        <v>106156.5</v>
      </c>
      <c r="N209">
        <v>20608.16</v>
      </c>
      <c r="O209" t="s">
        <v>42</v>
      </c>
    </row>
    <row r="210" spans="1:15" x14ac:dyDescent="0.25">
      <c r="A210" t="s">
        <v>280</v>
      </c>
      <c r="B210" s="1">
        <v>45745</v>
      </c>
      <c r="C210" t="s">
        <v>36</v>
      </c>
      <c r="D210" t="s">
        <v>50</v>
      </c>
      <c r="E210" t="s">
        <v>51</v>
      </c>
      <c r="F210" t="s">
        <v>33</v>
      </c>
      <c r="G210" t="s">
        <v>20</v>
      </c>
      <c r="H210" t="s">
        <v>40</v>
      </c>
      <c r="I210" t="s">
        <v>80</v>
      </c>
      <c r="J210">
        <v>7</v>
      </c>
      <c r="K210">
        <v>28024</v>
      </c>
      <c r="L210">
        <v>0</v>
      </c>
      <c r="M210">
        <v>196168</v>
      </c>
      <c r="N210">
        <v>28589.34</v>
      </c>
      <c r="O210" t="s">
        <v>31</v>
      </c>
    </row>
    <row r="211" spans="1:15" x14ac:dyDescent="0.25">
      <c r="A211" t="s">
        <v>281</v>
      </c>
      <c r="B211" s="1">
        <v>45676</v>
      </c>
      <c r="C211" t="s">
        <v>16</v>
      </c>
      <c r="D211" t="s">
        <v>106</v>
      </c>
      <c r="E211" t="s">
        <v>107</v>
      </c>
      <c r="F211" t="s">
        <v>19</v>
      </c>
      <c r="G211" t="s">
        <v>20</v>
      </c>
      <c r="H211" t="s">
        <v>29</v>
      </c>
      <c r="I211" t="s">
        <v>30</v>
      </c>
      <c r="J211">
        <v>9</v>
      </c>
      <c r="K211">
        <v>72669</v>
      </c>
      <c r="L211">
        <v>10</v>
      </c>
      <c r="M211">
        <v>588618.9</v>
      </c>
      <c r="N211">
        <v>69717.31</v>
      </c>
      <c r="O211" t="s">
        <v>34</v>
      </c>
    </row>
    <row r="212" spans="1:15" x14ac:dyDescent="0.25">
      <c r="A212" t="s">
        <v>282</v>
      </c>
      <c r="B212" s="1">
        <v>45891</v>
      </c>
      <c r="C212" t="s">
        <v>16</v>
      </c>
      <c r="D212" t="s">
        <v>17</v>
      </c>
      <c r="E212" t="s">
        <v>18</v>
      </c>
      <c r="F212" t="s">
        <v>63</v>
      </c>
      <c r="G212" t="s">
        <v>28</v>
      </c>
      <c r="H212" t="s">
        <v>29</v>
      </c>
      <c r="I212" t="s">
        <v>30</v>
      </c>
      <c r="J212">
        <v>5</v>
      </c>
      <c r="K212">
        <v>79522</v>
      </c>
      <c r="L212">
        <v>5</v>
      </c>
      <c r="M212">
        <v>377729.5</v>
      </c>
      <c r="N212">
        <v>54127.64</v>
      </c>
      <c r="O212" t="s">
        <v>31</v>
      </c>
    </row>
    <row r="213" spans="1:15" x14ac:dyDescent="0.25">
      <c r="A213" t="s">
        <v>283</v>
      </c>
      <c r="B213" s="1">
        <v>45835</v>
      </c>
      <c r="C213" t="s">
        <v>65</v>
      </c>
      <c r="D213" t="s">
        <v>82</v>
      </c>
      <c r="E213" t="s">
        <v>83</v>
      </c>
      <c r="F213" t="s">
        <v>52</v>
      </c>
      <c r="G213" t="s">
        <v>28</v>
      </c>
      <c r="H213" t="s">
        <v>21</v>
      </c>
      <c r="I213" t="s">
        <v>56</v>
      </c>
      <c r="J213">
        <v>1</v>
      </c>
      <c r="K213">
        <v>40224</v>
      </c>
      <c r="L213">
        <v>0</v>
      </c>
      <c r="M213">
        <v>40224</v>
      </c>
      <c r="N213">
        <v>8567.02</v>
      </c>
      <c r="O213" t="s">
        <v>42</v>
      </c>
    </row>
    <row r="214" spans="1:15" x14ac:dyDescent="0.25">
      <c r="A214" t="s">
        <v>284</v>
      </c>
      <c r="B214" s="1">
        <v>45791</v>
      </c>
      <c r="C214" t="s">
        <v>36</v>
      </c>
      <c r="D214" t="s">
        <v>50</v>
      </c>
      <c r="E214" t="s">
        <v>51</v>
      </c>
      <c r="F214" t="s">
        <v>72</v>
      </c>
      <c r="G214" t="s">
        <v>28</v>
      </c>
      <c r="H214" t="s">
        <v>29</v>
      </c>
      <c r="I214" t="s">
        <v>30</v>
      </c>
      <c r="J214">
        <v>10</v>
      </c>
      <c r="K214">
        <v>76438</v>
      </c>
      <c r="L214">
        <v>10</v>
      </c>
      <c r="M214">
        <v>687942</v>
      </c>
      <c r="N214">
        <v>93260.05</v>
      </c>
      <c r="O214" t="s">
        <v>23</v>
      </c>
    </row>
    <row r="215" spans="1:15" x14ac:dyDescent="0.25">
      <c r="A215" t="s">
        <v>285</v>
      </c>
      <c r="B215" s="1">
        <v>45926</v>
      </c>
      <c r="C215" t="s">
        <v>25</v>
      </c>
      <c r="D215" t="s">
        <v>61</v>
      </c>
      <c r="E215" t="s">
        <v>62</v>
      </c>
      <c r="F215" t="s">
        <v>93</v>
      </c>
      <c r="G215" t="s">
        <v>20</v>
      </c>
      <c r="H215" t="s">
        <v>68</v>
      </c>
      <c r="I215" t="s">
        <v>90</v>
      </c>
      <c r="J215">
        <v>10</v>
      </c>
      <c r="K215">
        <v>22873</v>
      </c>
      <c r="L215">
        <v>0</v>
      </c>
      <c r="M215">
        <v>228730</v>
      </c>
      <c r="N215">
        <v>28533.05</v>
      </c>
      <c r="O215" t="s">
        <v>34</v>
      </c>
    </row>
    <row r="216" spans="1:15" x14ac:dyDescent="0.25">
      <c r="A216" t="s">
        <v>286</v>
      </c>
      <c r="B216" s="1">
        <v>45919</v>
      </c>
      <c r="C216" t="s">
        <v>16</v>
      </c>
      <c r="D216" t="s">
        <v>44</v>
      </c>
      <c r="E216" t="s">
        <v>44</v>
      </c>
      <c r="F216" t="s">
        <v>47</v>
      </c>
      <c r="G216" t="s">
        <v>28</v>
      </c>
      <c r="H216" t="s">
        <v>40</v>
      </c>
      <c r="I216" t="s">
        <v>59</v>
      </c>
      <c r="J216">
        <v>2</v>
      </c>
      <c r="K216">
        <v>68219</v>
      </c>
      <c r="L216">
        <v>0</v>
      </c>
      <c r="M216">
        <v>136438</v>
      </c>
      <c r="N216">
        <v>23753.79</v>
      </c>
      <c r="O216" t="s">
        <v>31</v>
      </c>
    </row>
    <row r="217" spans="1:15" x14ac:dyDescent="0.25">
      <c r="A217" t="s">
        <v>287</v>
      </c>
      <c r="B217" s="1">
        <v>45678</v>
      </c>
      <c r="C217" t="s">
        <v>36</v>
      </c>
      <c r="D217" t="s">
        <v>50</v>
      </c>
      <c r="E217" t="s">
        <v>51</v>
      </c>
      <c r="F217" t="s">
        <v>52</v>
      </c>
      <c r="G217" t="s">
        <v>20</v>
      </c>
      <c r="H217" t="s">
        <v>21</v>
      </c>
      <c r="I217" t="s">
        <v>56</v>
      </c>
      <c r="J217">
        <v>7</v>
      </c>
      <c r="K217">
        <v>71733</v>
      </c>
      <c r="L217">
        <v>15</v>
      </c>
      <c r="M217">
        <v>426811.35</v>
      </c>
      <c r="N217">
        <v>57819.53</v>
      </c>
      <c r="O217" t="s">
        <v>42</v>
      </c>
    </row>
    <row r="218" spans="1:15" x14ac:dyDescent="0.25">
      <c r="A218" t="s">
        <v>288</v>
      </c>
      <c r="B218" s="1">
        <v>45889</v>
      </c>
      <c r="C218" t="s">
        <v>16</v>
      </c>
      <c r="D218" t="s">
        <v>17</v>
      </c>
      <c r="E218" t="s">
        <v>18</v>
      </c>
      <c r="F218" t="s">
        <v>33</v>
      </c>
      <c r="G218" t="s">
        <v>20</v>
      </c>
      <c r="H218" t="s">
        <v>40</v>
      </c>
      <c r="I218" t="s">
        <v>59</v>
      </c>
      <c r="J218">
        <v>5</v>
      </c>
      <c r="K218">
        <v>51344</v>
      </c>
      <c r="L218">
        <v>20</v>
      </c>
      <c r="M218">
        <v>205376</v>
      </c>
      <c r="N218">
        <v>42949.9</v>
      </c>
      <c r="O218" t="s">
        <v>31</v>
      </c>
    </row>
    <row r="219" spans="1:15" x14ac:dyDescent="0.25">
      <c r="A219" t="s">
        <v>289</v>
      </c>
      <c r="B219" s="1">
        <v>45901</v>
      </c>
      <c r="C219" t="s">
        <v>65</v>
      </c>
      <c r="D219" t="s">
        <v>66</v>
      </c>
      <c r="E219" t="s">
        <v>67</v>
      </c>
      <c r="F219" t="s">
        <v>19</v>
      </c>
      <c r="G219" t="s">
        <v>20</v>
      </c>
      <c r="H219" t="s">
        <v>77</v>
      </c>
      <c r="I219" t="s">
        <v>100</v>
      </c>
      <c r="J219">
        <v>9</v>
      </c>
      <c r="K219">
        <v>62201</v>
      </c>
      <c r="L219">
        <v>20</v>
      </c>
      <c r="M219">
        <v>447847.2</v>
      </c>
      <c r="N219">
        <v>68670.83</v>
      </c>
      <c r="O219" t="s">
        <v>42</v>
      </c>
    </row>
    <row r="220" spans="1:15" x14ac:dyDescent="0.25">
      <c r="A220" t="s">
        <v>290</v>
      </c>
      <c r="B220" s="1">
        <v>45758</v>
      </c>
      <c r="C220" t="s">
        <v>36</v>
      </c>
      <c r="D220" t="s">
        <v>85</v>
      </c>
      <c r="E220" t="s">
        <v>86</v>
      </c>
      <c r="F220" t="s">
        <v>19</v>
      </c>
      <c r="G220" t="s">
        <v>20</v>
      </c>
      <c r="H220" t="s">
        <v>77</v>
      </c>
      <c r="I220" t="s">
        <v>78</v>
      </c>
      <c r="J220">
        <v>9</v>
      </c>
      <c r="K220">
        <v>19596</v>
      </c>
      <c r="L220">
        <v>15</v>
      </c>
      <c r="M220">
        <v>149909.4</v>
      </c>
      <c r="N220">
        <v>19967.650000000001</v>
      </c>
      <c r="O220" t="s">
        <v>34</v>
      </c>
    </row>
    <row r="221" spans="1:15" x14ac:dyDescent="0.25">
      <c r="A221" t="s">
        <v>291</v>
      </c>
      <c r="B221" s="1">
        <v>45736</v>
      </c>
      <c r="C221" t="s">
        <v>16</v>
      </c>
      <c r="D221" t="s">
        <v>17</v>
      </c>
      <c r="E221" t="s">
        <v>18</v>
      </c>
      <c r="F221" t="s">
        <v>39</v>
      </c>
      <c r="G221" t="s">
        <v>20</v>
      </c>
      <c r="H221" t="s">
        <v>29</v>
      </c>
      <c r="I221" t="s">
        <v>30</v>
      </c>
      <c r="J221">
        <v>6</v>
      </c>
      <c r="K221">
        <v>20787</v>
      </c>
      <c r="L221">
        <v>15</v>
      </c>
      <c r="M221">
        <v>106013.7</v>
      </c>
      <c r="N221">
        <v>22199.66</v>
      </c>
      <c r="O221" t="s">
        <v>23</v>
      </c>
    </row>
    <row r="222" spans="1:15" x14ac:dyDescent="0.25">
      <c r="A222" t="s">
        <v>292</v>
      </c>
      <c r="B222" s="1">
        <v>45786</v>
      </c>
      <c r="C222" t="s">
        <v>16</v>
      </c>
      <c r="D222" t="s">
        <v>17</v>
      </c>
      <c r="E222" t="s">
        <v>18</v>
      </c>
      <c r="F222" t="s">
        <v>33</v>
      </c>
      <c r="G222" t="s">
        <v>20</v>
      </c>
      <c r="H222" t="s">
        <v>68</v>
      </c>
      <c r="I222" t="s">
        <v>94</v>
      </c>
      <c r="J222">
        <v>7</v>
      </c>
      <c r="K222">
        <v>48043</v>
      </c>
      <c r="L222">
        <v>0</v>
      </c>
      <c r="M222">
        <v>336301</v>
      </c>
      <c r="N222">
        <v>43372.56</v>
      </c>
      <c r="O222" t="s">
        <v>42</v>
      </c>
    </row>
    <row r="223" spans="1:15" x14ac:dyDescent="0.25">
      <c r="A223" t="s">
        <v>293</v>
      </c>
      <c r="B223" s="1">
        <v>45746</v>
      </c>
      <c r="C223" t="s">
        <v>16</v>
      </c>
      <c r="D223" t="s">
        <v>44</v>
      </c>
      <c r="E223" t="s">
        <v>44</v>
      </c>
      <c r="F223" t="s">
        <v>47</v>
      </c>
      <c r="G223" t="s">
        <v>28</v>
      </c>
      <c r="H223" t="s">
        <v>40</v>
      </c>
      <c r="I223" t="s">
        <v>41</v>
      </c>
      <c r="J223">
        <v>8</v>
      </c>
      <c r="K223">
        <v>17175</v>
      </c>
      <c r="L223">
        <v>0</v>
      </c>
      <c r="M223">
        <v>137400</v>
      </c>
      <c r="N223">
        <v>19988.62</v>
      </c>
      <c r="O223" t="s">
        <v>42</v>
      </c>
    </row>
    <row r="224" spans="1:15" x14ac:dyDescent="0.25">
      <c r="A224" t="s">
        <v>294</v>
      </c>
      <c r="B224" s="1">
        <v>45684</v>
      </c>
      <c r="C224" t="s">
        <v>36</v>
      </c>
      <c r="D224" t="s">
        <v>50</v>
      </c>
      <c r="E224" t="s">
        <v>51</v>
      </c>
      <c r="F224" t="s">
        <v>72</v>
      </c>
      <c r="G224" t="s">
        <v>28</v>
      </c>
      <c r="H224" t="s">
        <v>29</v>
      </c>
      <c r="I224" t="s">
        <v>53</v>
      </c>
      <c r="J224">
        <v>7</v>
      </c>
      <c r="K224">
        <v>56127</v>
      </c>
      <c r="L224">
        <v>20</v>
      </c>
      <c r="M224">
        <v>314311.2</v>
      </c>
      <c r="N224">
        <v>41070.879999999997</v>
      </c>
      <c r="O224" t="s">
        <v>23</v>
      </c>
    </row>
    <row r="225" spans="1:15" x14ac:dyDescent="0.25">
      <c r="A225" t="s">
        <v>295</v>
      </c>
      <c r="B225" s="1">
        <v>45893</v>
      </c>
      <c r="C225" t="s">
        <v>25</v>
      </c>
      <c r="D225" t="s">
        <v>26</v>
      </c>
      <c r="E225" t="s">
        <v>27</v>
      </c>
      <c r="F225" t="s">
        <v>19</v>
      </c>
      <c r="G225" t="s">
        <v>20</v>
      </c>
      <c r="H225" t="s">
        <v>68</v>
      </c>
      <c r="I225" t="s">
        <v>90</v>
      </c>
      <c r="J225">
        <v>9</v>
      </c>
      <c r="K225">
        <v>64663</v>
      </c>
      <c r="L225">
        <v>15</v>
      </c>
      <c r="M225">
        <v>494671.95</v>
      </c>
      <c r="N225">
        <v>119740.13</v>
      </c>
      <c r="O225" t="s">
        <v>23</v>
      </c>
    </row>
    <row r="226" spans="1:15" x14ac:dyDescent="0.25">
      <c r="A226" t="s">
        <v>296</v>
      </c>
      <c r="B226" s="1">
        <v>45691</v>
      </c>
      <c r="C226" t="s">
        <v>65</v>
      </c>
      <c r="D226" t="s">
        <v>82</v>
      </c>
      <c r="E226" t="s">
        <v>83</v>
      </c>
      <c r="F226" t="s">
        <v>93</v>
      </c>
      <c r="G226" t="s">
        <v>20</v>
      </c>
      <c r="H226" t="s">
        <v>77</v>
      </c>
      <c r="I226" t="s">
        <v>88</v>
      </c>
      <c r="J226">
        <v>1</v>
      </c>
      <c r="K226">
        <v>67140</v>
      </c>
      <c r="L226">
        <v>15</v>
      </c>
      <c r="M226">
        <v>57069</v>
      </c>
      <c r="N226">
        <v>7163.94</v>
      </c>
      <c r="O226" t="s">
        <v>42</v>
      </c>
    </row>
    <row r="227" spans="1:15" x14ac:dyDescent="0.25">
      <c r="A227" t="s">
        <v>297</v>
      </c>
      <c r="B227" s="1">
        <v>45690</v>
      </c>
      <c r="C227" t="s">
        <v>65</v>
      </c>
      <c r="D227" t="s">
        <v>82</v>
      </c>
      <c r="E227" t="s">
        <v>83</v>
      </c>
      <c r="F227" t="s">
        <v>39</v>
      </c>
      <c r="G227" t="s">
        <v>20</v>
      </c>
      <c r="H227" t="s">
        <v>40</v>
      </c>
      <c r="I227" t="s">
        <v>59</v>
      </c>
      <c r="J227">
        <v>6</v>
      </c>
      <c r="K227">
        <v>27777</v>
      </c>
      <c r="L227">
        <v>0</v>
      </c>
      <c r="M227">
        <v>166662</v>
      </c>
      <c r="N227">
        <v>17558.310000000001</v>
      </c>
      <c r="O227" t="s">
        <v>23</v>
      </c>
    </row>
    <row r="228" spans="1:15" x14ac:dyDescent="0.25">
      <c r="A228" t="s">
        <v>298</v>
      </c>
      <c r="B228" s="1">
        <v>45882</v>
      </c>
      <c r="C228" t="s">
        <v>36</v>
      </c>
      <c r="D228" t="s">
        <v>37</v>
      </c>
      <c r="E228" t="s">
        <v>38</v>
      </c>
      <c r="F228" t="s">
        <v>19</v>
      </c>
      <c r="G228" t="s">
        <v>20</v>
      </c>
      <c r="H228" t="s">
        <v>68</v>
      </c>
      <c r="I228" t="s">
        <v>90</v>
      </c>
      <c r="J228">
        <v>5</v>
      </c>
      <c r="K228">
        <v>40372</v>
      </c>
      <c r="L228">
        <v>10</v>
      </c>
      <c r="M228">
        <v>181674</v>
      </c>
      <c r="N228">
        <v>24158.69</v>
      </c>
      <c r="O228" t="s">
        <v>34</v>
      </c>
    </row>
    <row r="229" spans="1:15" x14ac:dyDescent="0.25">
      <c r="A229" t="s">
        <v>299</v>
      </c>
      <c r="B229" s="1">
        <v>45743</v>
      </c>
      <c r="C229" t="s">
        <v>25</v>
      </c>
      <c r="D229" t="s">
        <v>26</v>
      </c>
      <c r="E229" t="s">
        <v>27</v>
      </c>
      <c r="F229" t="s">
        <v>63</v>
      </c>
      <c r="G229" t="s">
        <v>28</v>
      </c>
      <c r="H229" t="s">
        <v>68</v>
      </c>
      <c r="I229" t="s">
        <v>69</v>
      </c>
      <c r="J229">
        <v>5</v>
      </c>
      <c r="K229">
        <v>21377</v>
      </c>
      <c r="L229">
        <v>10</v>
      </c>
      <c r="M229">
        <v>96196.5</v>
      </c>
      <c r="N229">
        <v>14859.49</v>
      </c>
      <c r="O229" t="s">
        <v>23</v>
      </c>
    </row>
    <row r="230" spans="1:15" x14ac:dyDescent="0.25">
      <c r="A230" t="s">
        <v>300</v>
      </c>
      <c r="B230" s="1">
        <v>45826</v>
      </c>
      <c r="C230" t="s">
        <v>36</v>
      </c>
      <c r="D230" t="s">
        <v>50</v>
      </c>
      <c r="E230" t="s">
        <v>51</v>
      </c>
      <c r="F230" t="s">
        <v>33</v>
      </c>
      <c r="G230" t="s">
        <v>20</v>
      </c>
      <c r="H230" t="s">
        <v>40</v>
      </c>
      <c r="I230" t="s">
        <v>41</v>
      </c>
      <c r="J230">
        <v>9</v>
      </c>
      <c r="K230">
        <v>33278</v>
      </c>
      <c r="L230">
        <v>20</v>
      </c>
      <c r="M230">
        <v>239601.6</v>
      </c>
      <c r="N230">
        <v>49248.62</v>
      </c>
      <c r="O230" t="s">
        <v>31</v>
      </c>
    </row>
    <row r="231" spans="1:15" x14ac:dyDescent="0.25">
      <c r="A231" t="s">
        <v>301</v>
      </c>
      <c r="B231" s="1">
        <v>45772</v>
      </c>
      <c r="C231" t="s">
        <v>25</v>
      </c>
      <c r="D231" t="s">
        <v>26</v>
      </c>
      <c r="E231" t="s">
        <v>27</v>
      </c>
      <c r="F231" t="s">
        <v>47</v>
      </c>
      <c r="G231" t="s">
        <v>28</v>
      </c>
      <c r="H231" t="s">
        <v>68</v>
      </c>
      <c r="I231" t="s">
        <v>94</v>
      </c>
      <c r="J231">
        <v>1</v>
      </c>
      <c r="K231">
        <v>28657</v>
      </c>
      <c r="L231">
        <v>15</v>
      </c>
      <c r="M231">
        <v>24358.45</v>
      </c>
      <c r="N231">
        <v>3488.86</v>
      </c>
      <c r="O231" t="s">
        <v>42</v>
      </c>
    </row>
    <row r="232" spans="1:15" x14ac:dyDescent="0.25">
      <c r="A232" t="s">
        <v>302</v>
      </c>
      <c r="B232" s="1">
        <v>45688</v>
      </c>
      <c r="C232" t="s">
        <v>16</v>
      </c>
      <c r="D232" t="s">
        <v>17</v>
      </c>
      <c r="E232" t="s">
        <v>18</v>
      </c>
      <c r="F232" t="s">
        <v>19</v>
      </c>
      <c r="G232" t="s">
        <v>28</v>
      </c>
      <c r="H232" t="s">
        <v>77</v>
      </c>
      <c r="I232" t="s">
        <v>100</v>
      </c>
      <c r="J232">
        <v>10</v>
      </c>
      <c r="K232">
        <v>23411</v>
      </c>
      <c r="L232">
        <v>10</v>
      </c>
      <c r="M232">
        <v>210699</v>
      </c>
      <c r="N232">
        <v>25997.57</v>
      </c>
      <c r="O232" t="s">
        <v>42</v>
      </c>
    </row>
    <row r="233" spans="1:15" x14ac:dyDescent="0.25">
      <c r="A233" t="s">
        <v>303</v>
      </c>
      <c r="B233" s="1">
        <v>45768</v>
      </c>
      <c r="C233" t="s">
        <v>16</v>
      </c>
      <c r="D233" t="s">
        <v>17</v>
      </c>
      <c r="E233" t="s">
        <v>18</v>
      </c>
      <c r="F233" t="s">
        <v>19</v>
      </c>
      <c r="G233" t="s">
        <v>28</v>
      </c>
      <c r="H233" t="s">
        <v>21</v>
      </c>
      <c r="I233" t="s">
        <v>22</v>
      </c>
      <c r="J233">
        <v>6</v>
      </c>
      <c r="K233">
        <v>8735</v>
      </c>
      <c r="L233">
        <v>15</v>
      </c>
      <c r="M233">
        <v>44548.5</v>
      </c>
      <c r="N233">
        <v>6210.03</v>
      </c>
      <c r="O233" t="s">
        <v>23</v>
      </c>
    </row>
    <row r="234" spans="1:15" x14ac:dyDescent="0.25">
      <c r="A234" t="s">
        <v>304</v>
      </c>
      <c r="B234" s="1">
        <v>45822</v>
      </c>
      <c r="C234" t="s">
        <v>65</v>
      </c>
      <c r="D234" t="s">
        <v>66</v>
      </c>
      <c r="E234" t="s">
        <v>67</v>
      </c>
      <c r="F234" t="s">
        <v>39</v>
      </c>
      <c r="G234" t="s">
        <v>28</v>
      </c>
      <c r="H234" t="s">
        <v>29</v>
      </c>
      <c r="I234" t="s">
        <v>53</v>
      </c>
      <c r="J234">
        <v>2</v>
      </c>
      <c r="K234">
        <v>61000</v>
      </c>
      <c r="L234">
        <v>15</v>
      </c>
      <c r="M234">
        <v>103700</v>
      </c>
      <c r="N234">
        <v>20114.37</v>
      </c>
      <c r="O234" t="s">
        <v>23</v>
      </c>
    </row>
    <row r="235" spans="1:15" x14ac:dyDescent="0.25">
      <c r="A235" t="s">
        <v>305</v>
      </c>
      <c r="B235" s="1">
        <v>46020</v>
      </c>
      <c r="C235" t="s">
        <v>16</v>
      </c>
      <c r="D235" t="s">
        <v>44</v>
      </c>
      <c r="E235" t="s">
        <v>44</v>
      </c>
      <c r="F235" t="s">
        <v>39</v>
      </c>
      <c r="G235" t="s">
        <v>28</v>
      </c>
      <c r="H235" t="s">
        <v>29</v>
      </c>
      <c r="I235" t="s">
        <v>53</v>
      </c>
      <c r="J235">
        <v>3</v>
      </c>
      <c r="K235">
        <v>10659</v>
      </c>
      <c r="L235">
        <v>20</v>
      </c>
      <c r="M235">
        <v>25581.599999999999</v>
      </c>
      <c r="N235">
        <v>2057.44</v>
      </c>
      <c r="O235" t="s">
        <v>34</v>
      </c>
    </row>
    <row r="236" spans="1:15" x14ac:dyDescent="0.25">
      <c r="A236" t="s">
        <v>306</v>
      </c>
      <c r="B236" s="1">
        <v>45778</v>
      </c>
      <c r="C236" t="s">
        <v>25</v>
      </c>
      <c r="D236" t="s">
        <v>61</v>
      </c>
      <c r="E236" t="s">
        <v>62</v>
      </c>
      <c r="F236" t="s">
        <v>33</v>
      </c>
      <c r="G236" t="s">
        <v>20</v>
      </c>
      <c r="H236" t="s">
        <v>21</v>
      </c>
      <c r="I236" t="s">
        <v>45</v>
      </c>
      <c r="J236">
        <v>2</v>
      </c>
      <c r="K236">
        <v>61573</v>
      </c>
      <c r="L236">
        <v>5</v>
      </c>
      <c r="M236">
        <v>116988.7</v>
      </c>
      <c r="N236">
        <v>14437.48</v>
      </c>
      <c r="O236" t="s">
        <v>23</v>
      </c>
    </row>
    <row r="237" spans="1:15" x14ac:dyDescent="0.25">
      <c r="A237" t="s">
        <v>307</v>
      </c>
      <c r="B237" s="1">
        <v>45682</v>
      </c>
      <c r="C237" t="s">
        <v>36</v>
      </c>
      <c r="D237" t="s">
        <v>85</v>
      </c>
      <c r="E237" t="s">
        <v>86</v>
      </c>
      <c r="F237" t="s">
        <v>93</v>
      </c>
      <c r="G237" t="s">
        <v>28</v>
      </c>
      <c r="H237" t="s">
        <v>68</v>
      </c>
      <c r="I237" t="s">
        <v>69</v>
      </c>
      <c r="J237">
        <v>8</v>
      </c>
      <c r="K237">
        <v>27825</v>
      </c>
      <c r="L237">
        <v>15</v>
      </c>
      <c r="M237">
        <v>189210</v>
      </c>
      <c r="N237">
        <v>31734.799999999999</v>
      </c>
      <c r="O237" t="s">
        <v>42</v>
      </c>
    </row>
    <row r="238" spans="1:15" x14ac:dyDescent="0.25">
      <c r="A238" t="s">
        <v>308</v>
      </c>
      <c r="B238" s="1">
        <v>45894</v>
      </c>
      <c r="C238" t="s">
        <v>36</v>
      </c>
      <c r="D238" t="s">
        <v>50</v>
      </c>
      <c r="E238" t="s">
        <v>51</v>
      </c>
      <c r="F238" t="s">
        <v>33</v>
      </c>
      <c r="G238" t="s">
        <v>20</v>
      </c>
      <c r="H238" t="s">
        <v>77</v>
      </c>
      <c r="I238" t="s">
        <v>88</v>
      </c>
      <c r="J238">
        <v>6</v>
      </c>
      <c r="K238">
        <v>16897</v>
      </c>
      <c r="L238">
        <v>5</v>
      </c>
      <c r="M238">
        <v>96312.9</v>
      </c>
      <c r="N238">
        <v>8386.4</v>
      </c>
      <c r="O238" t="s">
        <v>31</v>
      </c>
    </row>
    <row r="239" spans="1:15" x14ac:dyDescent="0.25">
      <c r="A239" t="s">
        <v>309</v>
      </c>
      <c r="B239" s="1">
        <v>45811</v>
      </c>
      <c r="C239" t="s">
        <v>36</v>
      </c>
      <c r="D239" t="s">
        <v>37</v>
      </c>
      <c r="E239" t="s">
        <v>38</v>
      </c>
      <c r="F239" t="s">
        <v>39</v>
      </c>
      <c r="G239" t="s">
        <v>28</v>
      </c>
      <c r="H239" t="s">
        <v>29</v>
      </c>
      <c r="I239" t="s">
        <v>53</v>
      </c>
      <c r="J239">
        <v>10</v>
      </c>
      <c r="K239">
        <v>4729</v>
      </c>
      <c r="L239">
        <v>15</v>
      </c>
      <c r="M239">
        <v>40196.5</v>
      </c>
      <c r="N239">
        <v>6104.88</v>
      </c>
      <c r="O239" t="s">
        <v>31</v>
      </c>
    </row>
    <row r="240" spans="1:15" x14ac:dyDescent="0.25">
      <c r="A240" t="s">
        <v>310</v>
      </c>
      <c r="B240" s="1">
        <v>45722</v>
      </c>
      <c r="C240" t="s">
        <v>25</v>
      </c>
      <c r="D240" t="s">
        <v>61</v>
      </c>
      <c r="E240" t="s">
        <v>62</v>
      </c>
      <c r="F240" t="s">
        <v>47</v>
      </c>
      <c r="G240" t="s">
        <v>28</v>
      </c>
      <c r="H240" t="s">
        <v>77</v>
      </c>
      <c r="I240" t="s">
        <v>88</v>
      </c>
      <c r="J240">
        <v>9</v>
      </c>
      <c r="K240">
        <v>54151</v>
      </c>
      <c r="L240">
        <v>5</v>
      </c>
      <c r="M240">
        <v>462991.05</v>
      </c>
      <c r="N240">
        <v>74209.899999999994</v>
      </c>
      <c r="O240" t="s">
        <v>31</v>
      </c>
    </row>
    <row r="241" spans="1:15" x14ac:dyDescent="0.25">
      <c r="A241" t="s">
        <v>311</v>
      </c>
      <c r="B241" s="1">
        <v>45881</v>
      </c>
      <c r="C241" t="s">
        <v>65</v>
      </c>
      <c r="D241" t="s">
        <v>66</v>
      </c>
      <c r="E241" t="s">
        <v>67</v>
      </c>
      <c r="F241" t="s">
        <v>47</v>
      </c>
      <c r="G241" t="s">
        <v>20</v>
      </c>
      <c r="H241" t="s">
        <v>29</v>
      </c>
      <c r="I241" t="s">
        <v>53</v>
      </c>
      <c r="J241">
        <v>6</v>
      </c>
      <c r="K241">
        <v>54937</v>
      </c>
      <c r="L241">
        <v>15</v>
      </c>
      <c r="M241">
        <v>280178.7</v>
      </c>
      <c r="N241">
        <v>58651.42</v>
      </c>
      <c r="O241" t="s">
        <v>31</v>
      </c>
    </row>
    <row r="242" spans="1:15" x14ac:dyDescent="0.25">
      <c r="A242" t="s">
        <v>312</v>
      </c>
      <c r="B242" s="1">
        <v>45770</v>
      </c>
      <c r="C242" t="s">
        <v>16</v>
      </c>
      <c r="D242" t="s">
        <v>106</v>
      </c>
      <c r="E242" t="s">
        <v>107</v>
      </c>
      <c r="F242" t="s">
        <v>19</v>
      </c>
      <c r="G242" t="s">
        <v>28</v>
      </c>
      <c r="H242" t="s">
        <v>40</v>
      </c>
      <c r="I242" t="s">
        <v>41</v>
      </c>
      <c r="J242">
        <v>7</v>
      </c>
      <c r="K242">
        <v>52936</v>
      </c>
      <c r="L242">
        <v>0</v>
      </c>
      <c r="M242">
        <v>370552</v>
      </c>
      <c r="N242">
        <v>53644.36</v>
      </c>
      <c r="O242" t="s">
        <v>34</v>
      </c>
    </row>
    <row r="243" spans="1:15" x14ac:dyDescent="0.25">
      <c r="A243" t="s">
        <v>313</v>
      </c>
      <c r="B243" s="1">
        <v>45706</v>
      </c>
      <c r="C243" t="s">
        <v>36</v>
      </c>
      <c r="D243" t="s">
        <v>37</v>
      </c>
      <c r="E243" t="s">
        <v>38</v>
      </c>
      <c r="F243" t="s">
        <v>52</v>
      </c>
      <c r="G243" t="s">
        <v>20</v>
      </c>
      <c r="H243" t="s">
        <v>40</v>
      </c>
      <c r="I243" t="s">
        <v>59</v>
      </c>
      <c r="J243">
        <v>6</v>
      </c>
      <c r="K243">
        <v>65189</v>
      </c>
      <c r="L243">
        <v>10</v>
      </c>
      <c r="M243">
        <v>352020.6</v>
      </c>
      <c r="N243">
        <v>83514.03</v>
      </c>
      <c r="O243" t="s">
        <v>42</v>
      </c>
    </row>
    <row r="244" spans="1:15" x14ac:dyDescent="0.25">
      <c r="A244" t="s">
        <v>314</v>
      </c>
      <c r="B244" s="1">
        <v>45854</v>
      </c>
      <c r="C244" t="s">
        <v>65</v>
      </c>
      <c r="D244" t="s">
        <v>82</v>
      </c>
      <c r="E244" t="s">
        <v>83</v>
      </c>
      <c r="F244" t="s">
        <v>52</v>
      </c>
      <c r="G244" t="s">
        <v>28</v>
      </c>
      <c r="H244" t="s">
        <v>21</v>
      </c>
      <c r="I244" t="s">
        <v>22</v>
      </c>
      <c r="J244">
        <v>7</v>
      </c>
      <c r="K244">
        <v>42720</v>
      </c>
      <c r="L244">
        <v>20</v>
      </c>
      <c r="M244">
        <v>239232</v>
      </c>
      <c r="N244">
        <v>37805.39</v>
      </c>
      <c r="O244" t="s">
        <v>42</v>
      </c>
    </row>
    <row r="245" spans="1:15" x14ac:dyDescent="0.25">
      <c r="A245" t="s">
        <v>315</v>
      </c>
      <c r="B245" s="1">
        <v>45793</v>
      </c>
      <c r="C245" t="s">
        <v>36</v>
      </c>
      <c r="D245" t="s">
        <v>50</v>
      </c>
      <c r="E245" t="s">
        <v>51</v>
      </c>
      <c r="F245" t="s">
        <v>52</v>
      </c>
      <c r="G245" t="s">
        <v>20</v>
      </c>
      <c r="H245" t="s">
        <v>68</v>
      </c>
      <c r="I245" t="s">
        <v>69</v>
      </c>
      <c r="J245">
        <v>5</v>
      </c>
      <c r="K245">
        <v>56342</v>
      </c>
      <c r="L245">
        <v>5</v>
      </c>
      <c r="M245">
        <v>267624.5</v>
      </c>
      <c r="N245">
        <v>59629.94</v>
      </c>
      <c r="O245" t="s">
        <v>23</v>
      </c>
    </row>
    <row r="246" spans="1:15" x14ac:dyDescent="0.25">
      <c r="A246" t="s">
        <v>316</v>
      </c>
      <c r="B246" s="1">
        <v>45857</v>
      </c>
      <c r="C246" t="s">
        <v>16</v>
      </c>
      <c r="D246" t="s">
        <v>17</v>
      </c>
      <c r="E246" t="s">
        <v>18</v>
      </c>
      <c r="F246" t="s">
        <v>33</v>
      </c>
      <c r="G246" t="s">
        <v>28</v>
      </c>
      <c r="H246" t="s">
        <v>40</v>
      </c>
      <c r="I246" t="s">
        <v>41</v>
      </c>
      <c r="J246">
        <v>1</v>
      </c>
      <c r="K246">
        <v>15014</v>
      </c>
      <c r="L246">
        <v>0</v>
      </c>
      <c r="M246">
        <v>15014</v>
      </c>
      <c r="N246">
        <v>2643.85</v>
      </c>
      <c r="O246" t="s">
        <v>31</v>
      </c>
    </row>
    <row r="247" spans="1:15" x14ac:dyDescent="0.25">
      <c r="A247" t="s">
        <v>317</v>
      </c>
      <c r="B247" s="1">
        <v>45830</v>
      </c>
      <c r="C247" t="s">
        <v>65</v>
      </c>
      <c r="D247" t="s">
        <v>82</v>
      </c>
      <c r="E247" t="s">
        <v>83</v>
      </c>
      <c r="F247" t="s">
        <v>63</v>
      </c>
      <c r="G247" t="s">
        <v>28</v>
      </c>
      <c r="H247" t="s">
        <v>21</v>
      </c>
      <c r="I247" t="s">
        <v>45</v>
      </c>
      <c r="J247">
        <v>7</v>
      </c>
      <c r="K247">
        <v>56023</v>
      </c>
      <c r="L247">
        <v>5</v>
      </c>
      <c r="M247">
        <v>372552.95</v>
      </c>
      <c r="N247">
        <v>68851.320000000007</v>
      </c>
      <c r="O247" t="s">
        <v>34</v>
      </c>
    </row>
    <row r="248" spans="1:15" x14ac:dyDescent="0.25">
      <c r="A248" t="s">
        <v>318</v>
      </c>
      <c r="B248" s="1">
        <v>45961</v>
      </c>
      <c r="C248" t="s">
        <v>25</v>
      </c>
      <c r="D248" t="s">
        <v>61</v>
      </c>
      <c r="E248" t="s">
        <v>62</v>
      </c>
      <c r="F248" t="s">
        <v>93</v>
      </c>
      <c r="G248" t="s">
        <v>28</v>
      </c>
      <c r="H248" t="s">
        <v>68</v>
      </c>
      <c r="I248" t="s">
        <v>94</v>
      </c>
      <c r="J248">
        <v>6</v>
      </c>
      <c r="K248">
        <v>29514</v>
      </c>
      <c r="L248">
        <v>0</v>
      </c>
      <c r="M248">
        <v>177084</v>
      </c>
      <c r="N248">
        <v>17487.14</v>
      </c>
      <c r="O248" t="s">
        <v>31</v>
      </c>
    </row>
    <row r="249" spans="1:15" x14ac:dyDescent="0.25">
      <c r="A249" t="s">
        <v>319</v>
      </c>
      <c r="B249" s="1">
        <v>45733</v>
      </c>
      <c r="C249" t="s">
        <v>65</v>
      </c>
      <c r="D249" t="s">
        <v>82</v>
      </c>
      <c r="E249" t="s">
        <v>83</v>
      </c>
      <c r="F249" t="s">
        <v>19</v>
      </c>
      <c r="G249" t="s">
        <v>28</v>
      </c>
      <c r="H249" t="s">
        <v>77</v>
      </c>
      <c r="I249" t="s">
        <v>88</v>
      </c>
      <c r="J249">
        <v>7</v>
      </c>
      <c r="K249">
        <v>48402</v>
      </c>
      <c r="L249">
        <v>20</v>
      </c>
      <c r="M249">
        <v>271051.2</v>
      </c>
      <c r="N249">
        <v>36924.800000000003</v>
      </c>
      <c r="O249" t="s">
        <v>42</v>
      </c>
    </row>
    <row r="250" spans="1:15" x14ac:dyDescent="0.25">
      <c r="A250" t="s">
        <v>320</v>
      </c>
      <c r="B250" s="1">
        <v>45887</v>
      </c>
      <c r="C250" t="s">
        <v>25</v>
      </c>
      <c r="D250" t="s">
        <v>26</v>
      </c>
      <c r="E250" t="s">
        <v>27</v>
      </c>
      <c r="F250" t="s">
        <v>33</v>
      </c>
      <c r="G250" t="s">
        <v>20</v>
      </c>
      <c r="H250" t="s">
        <v>40</v>
      </c>
      <c r="I250" t="s">
        <v>80</v>
      </c>
      <c r="J250">
        <v>10</v>
      </c>
      <c r="K250">
        <v>30412</v>
      </c>
      <c r="L250">
        <v>20</v>
      </c>
      <c r="M250">
        <v>243296</v>
      </c>
      <c r="N250">
        <v>23890.66</v>
      </c>
      <c r="O250" t="s">
        <v>34</v>
      </c>
    </row>
    <row r="251" spans="1:15" x14ac:dyDescent="0.25">
      <c r="A251" t="s">
        <v>321</v>
      </c>
      <c r="B251" s="1">
        <v>45939</v>
      </c>
      <c r="C251" t="s">
        <v>36</v>
      </c>
      <c r="D251" t="s">
        <v>37</v>
      </c>
      <c r="E251" t="s">
        <v>38</v>
      </c>
      <c r="F251" t="s">
        <v>33</v>
      </c>
      <c r="G251" t="s">
        <v>20</v>
      </c>
      <c r="H251" t="s">
        <v>68</v>
      </c>
      <c r="I251" t="s">
        <v>90</v>
      </c>
      <c r="J251">
        <v>8</v>
      </c>
      <c r="K251">
        <v>67970</v>
      </c>
      <c r="L251">
        <v>10</v>
      </c>
      <c r="M251">
        <v>489384</v>
      </c>
      <c r="N251">
        <v>121328.71</v>
      </c>
      <c r="O251" t="s">
        <v>23</v>
      </c>
    </row>
    <row r="252" spans="1:15" x14ac:dyDescent="0.25">
      <c r="A252" t="s">
        <v>322</v>
      </c>
      <c r="B252" s="1">
        <v>45820</v>
      </c>
      <c r="C252" t="s">
        <v>25</v>
      </c>
      <c r="D252" t="s">
        <v>26</v>
      </c>
      <c r="E252" t="s">
        <v>27</v>
      </c>
      <c r="F252" t="s">
        <v>47</v>
      </c>
      <c r="G252" t="s">
        <v>28</v>
      </c>
      <c r="H252" t="s">
        <v>77</v>
      </c>
      <c r="I252" t="s">
        <v>88</v>
      </c>
      <c r="J252">
        <v>7</v>
      </c>
      <c r="K252">
        <v>58483</v>
      </c>
      <c r="L252">
        <v>20</v>
      </c>
      <c r="M252">
        <v>327504.8</v>
      </c>
      <c r="N252">
        <v>63452.86</v>
      </c>
      <c r="O252" t="s">
        <v>34</v>
      </c>
    </row>
    <row r="253" spans="1:15" x14ac:dyDescent="0.25">
      <c r="A253" t="s">
        <v>323</v>
      </c>
      <c r="B253" s="1">
        <v>45710</v>
      </c>
      <c r="C253" t="s">
        <v>25</v>
      </c>
      <c r="D253" t="s">
        <v>26</v>
      </c>
      <c r="E253" t="s">
        <v>27</v>
      </c>
      <c r="F253" t="s">
        <v>72</v>
      </c>
      <c r="G253" t="s">
        <v>28</v>
      </c>
      <c r="H253" t="s">
        <v>77</v>
      </c>
      <c r="I253" t="s">
        <v>100</v>
      </c>
      <c r="J253">
        <v>9</v>
      </c>
      <c r="K253">
        <v>20725</v>
      </c>
      <c r="L253">
        <v>15</v>
      </c>
      <c r="M253">
        <v>158546.25</v>
      </c>
      <c r="N253">
        <v>25975.31</v>
      </c>
      <c r="O253" t="s">
        <v>23</v>
      </c>
    </row>
    <row r="254" spans="1:15" x14ac:dyDescent="0.25">
      <c r="A254" t="s">
        <v>324</v>
      </c>
      <c r="B254" s="1">
        <v>45955</v>
      </c>
      <c r="C254" t="s">
        <v>65</v>
      </c>
      <c r="D254" t="s">
        <v>82</v>
      </c>
      <c r="E254" t="s">
        <v>83</v>
      </c>
      <c r="F254" t="s">
        <v>19</v>
      </c>
      <c r="G254" t="s">
        <v>20</v>
      </c>
      <c r="H254" t="s">
        <v>40</v>
      </c>
      <c r="I254" t="s">
        <v>41</v>
      </c>
      <c r="J254">
        <v>4</v>
      </c>
      <c r="K254">
        <v>5706</v>
      </c>
      <c r="L254">
        <v>0</v>
      </c>
      <c r="M254">
        <v>22824</v>
      </c>
      <c r="N254">
        <v>4855.28</v>
      </c>
      <c r="O254" t="s">
        <v>31</v>
      </c>
    </row>
    <row r="255" spans="1:15" x14ac:dyDescent="0.25">
      <c r="A255" t="s">
        <v>325</v>
      </c>
      <c r="B255" s="1">
        <v>45710</v>
      </c>
      <c r="C255" t="s">
        <v>25</v>
      </c>
      <c r="D255" t="s">
        <v>61</v>
      </c>
      <c r="E255" t="s">
        <v>62</v>
      </c>
      <c r="F255" t="s">
        <v>93</v>
      </c>
      <c r="G255" t="s">
        <v>20</v>
      </c>
      <c r="H255" t="s">
        <v>40</v>
      </c>
      <c r="I255" t="s">
        <v>59</v>
      </c>
      <c r="J255">
        <v>7</v>
      </c>
      <c r="K255">
        <v>25092</v>
      </c>
      <c r="L255">
        <v>0</v>
      </c>
      <c r="M255">
        <v>175644</v>
      </c>
      <c r="N255">
        <v>38600.39</v>
      </c>
      <c r="O255" t="s">
        <v>42</v>
      </c>
    </row>
    <row r="256" spans="1:15" x14ac:dyDescent="0.25">
      <c r="A256" t="s">
        <v>326</v>
      </c>
      <c r="B256" s="1">
        <v>45702</v>
      </c>
      <c r="C256" t="s">
        <v>36</v>
      </c>
      <c r="D256" t="s">
        <v>85</v>
      </c>
      <c r="E256" t="s">
        <v>86</v>
      </c>
      <c r="F256" t="s">
        <v>47</v>
      </c>
      <c r="G256" t="s">
        <v>28</v>
      </c>
      <c r="H256" t="s">
        <v>29</v>
      </c>
      <c r="I256" t="s">
        <v>53</v>
      </c>
      <c r="J256">
        <v>3</v>
      </c>
      <c r="K256">
        <v>55697</v>
      </c>
      <c r="L256">
        <v>5</v>
      </c>
      <c r="M256">
        <v>158736.45000000001</v>
      </c>
      <c r="N256">
        <v>22746.05</v>
      </c>
      <c r="O256" t="s">
        <v>23</v>
      </c>
    </row>
    <row r="257" spans="1:15" x14ac:dyDescent="0.25">
      <c r="A257" t="s">
        <v>327</v>
      </c>
      <c r="B257" s="1">
        <v>45729</v>
      </c>
      <c r="C257" t="s">
        <v>65</v>
      </c>
      <c r="D257" t="s">
        <v>66</v>
      </c>
      <c r="E257" t="s">
        <v>67</v>
      </c>
      <c r="F257" t="s">
        <v>72</v>
      </c>
      <c r="G257" t="s">
        <v>20</v>
      </c>
      <c r="H257" t="s">
        <v>21</v>
      </c>
      <c r="I257" t="s">
        <v>56</v>
      </c>
      <c r="J257">
        <v>8</v>
      </c>
      <c r="K257">
        <v>54925</v>
      </c>
      <c r="L257">
        <v>5</v>
      </c>
      <c r="M257">
        <v>417430</v>
      </c>
      <c r="N257">
        <v>98039.61</v>
      </c>
      <c r="O257" t="s">
        <v>31</v>
      </c>
    </row>
    <row r="258" spans="1:15" x14ac:dyDescent="0.25">
      <c r="A258" t="s">
        <v>328</v>
      </c>
      <c r="B258" s="1">
        <v>45697</v>
      </c>
      <c r="C258" t="s">
        <v>25</v>
      </c>
      <c r="D258" t="s">
        <v>26</v>
      </c>
      <c r="E258" t="s">
        <v>27</v>
      </c>
      <c r="F258" t="s">
        <v>72</v>
      </c>
      <c r="G258" t="s">
        <v>28</v>
      </c>
      <c r="H258" t="s">
        <v>68</v>
      </c>
      <c r="I258" t="s">
        <v>94</v>
      </c>
      <c r="J258">
        <v>6</v>
      </c>
      <c r="K258">
        <v>17604</v>
      </c>
      <c r="L258">
        <v>20</v>
      </c>
      <c r="M258">
        <v>84499.199999999997</v>
      </c>
      <c r="N258">
        <v>7545.8</v>
      </c>
      <c r="O258" t="s">
        <v>42</v>
      </c>
    </row>
    <row r="259" spans="1:15" x14ac:dyDescent="0.25">
      <c r="A259" t="s">
        <v>329</v>
      </c>
      <c r="B259" s="1">
        <v>45775</v>
      </c>
      <c r="C259" t="s">
        <v>36</v>
      </c>
      <c r="D259" t="s">
        <v>85</v>
      </c>
      <c r="E259" t="s">
        <v>86</v>
      </c>
      <c r="F259" t="s">
        <v>39</v>
      </c>
      <c r="G259" t="s">
        <v>28</v>
      </c>
      <c r="H259" t="s">
        <v>21</v>
      </c>
      <c r="I259" t="s">
        <v>45</v>
      </c>
      <c r="J259">
        <v>3</v>
      </c>
      <c r="K259">
        <v>25395</v>
      </c>
      <c r="L259">
        <v>20</v>
      </c>
      <c r="M259">
        <v>60948</v>
      </c>
      <c r="N259">
        <v>7656.03</v>
      </c>
      <c r="O259" t="s">
        <v>34</v>
      </c>
    </row>
    <row r="260" spans="1:15" x14ac:dyDescent="0.25">
      <c r="A260" t="s">
        <v>330</v>
      </c>
      <c r="B260" s="1">
        <v>45997</v>
      </c>
      <c r="C260" t="s">
        <v>36</v>
      </c>
      <c r="D260" t="s">
        <v>37</v>
      </c>
      <c r="E260" t="s">
        <v>38</v>
      </c>
      <c r="F260" t="s">
        <v>63</v>
      </c>
      <c r="G260" t="s">
        <v>20</v>
      </c>
      <c r="H260" t="s">
        <v>68</v>
      </c>
      <c r="I260" t="s">
        <v>69</v>
      </c>
      <c r="J260">
        <v>9</v>
      </c>
      <c r="K260">
        <v>1000</v>
      </c>
      <c r="L260">
        <v>5</v>
      </c>
      <c r="M260">
        <v>8550</v>
      </c>
      <c r="N260">
        <v>1465.94</v>
      </c>
      <c r="O260" t="s">
        <v>31</v>
      </c>
    </row>
    <row r="261" spans="1:15" x14ac:dyDescent="0.25">
      <c r="A261" t="s">
        <v>331</v>
      </c>
      <c r="B261" s="1">
        <v>45746</v>
      </c>
      <c r="C261" t="s">
        <v>65</v>
      </c>
      <c r="D261" t="s">
        <v>66</v>
      </c>
      <c r="E261" t="s">
        <v>67</v>
      </c>
      <c r="F261" t="s">
        <v>47</v>
      </c>
      <c r="G261" t="s">
        <v>20</v>
      </c>
      <c r="H261" t="s">
        <v>77</v>
      </c>
      <c r="I261" t="s">
        <v>100</v>
      </c>
      <c r="J261">
        <v>5</v>
      </c>
      <c r="K261">
        <v>72438</v>
      </c>
      <c r="L261">
        <v>5</v>
      </c>
      <c r="M261">
        <v>344080.5</v>
      </c>
      <c r="N261">
        <v>30764.42</v>
      </c>
      <c r="O261" t="s">
        <v>34</v>
      </c>
    </row>
    <row r="262" spans="1:15" x14ac:dyDescent="0.25">
      <c r="A262" t="s">
        <v>332</v>
      </c>
      <c r="B262" s="1">
        <v>45865</v>
      </c>
      <c r="C262" t="s">
        <v>65</v>
      </c>
      <c r="D262" t="s">
        <v>66</v>
      </c>
      <c r="E262" t="s">
        <v>67</v>
      </c>
      <c r="F262" t="s">
        <v>63</v>
      </c>
      <c r="G262" t="s">
        <v>28</v>
      </c>
      <c r="H262" t="s">
        <v>68</v>
      </c>
      <c r="I262" t="s">
        <v>69</v>
      </c>
      <c r="J262">
        <v>6</v>
      </c>
      <c r="K262">
        <v>23215</v>
      </c>
      <c r="L262">
        <v>0</v>
      </c>
      <c r="M262">
        <v>139290</v>
      </c>
      <c r="N262">
        <v>21006.44</v>
      </c>
      <c r="O262" t="s">
        <v>34</v>
      </c>
    </row>
    <row r="263" spans="1:15" x14ac:dyDescent="0.25">
      <c r="A263" t="s">
        <v>333</v>
      </c>
      <c r="B263" s="1">
        <v>45981</v>
      </c>
      <c r="C263" t="s">
        <v>25</v>
      </c>
      <c r="D263" t="s">
        <v>61</v>
      </c>
      <c r="E263" t="s">
        <v>62</v>
      </c>
      <c r="F263" t="s">
        <v>93</v>
      </c>
      <c r="G263" t="s">
        <v>20</v>
      </c>
      <c r="H263" t="s">
        <v>40</v>
      </c>
      <c r="I263" t="s">
        <v>59</v>
      </c>
      <c r="J263">
        <v>8</v>
      </c>
      <c r="K263">
        <v>35559</v>
      </c>
      <c r="L263">
        <v>20</v>
      </c>
      <c r="M263">
        <v>227577.60000000001</v>
      </c>
      <c r="N263">
        <v>28014.720000000001</v>
      </c>
      <c r="O263" t="s">
        <v>23</v>
      </c>
    </row>
    <row r="264" spans="1:15" x14ac:dyDescent="0.25">
      <c r="A264" t="s">
        <v>334</v>
      </c>
      <c r="B264" s="1">
        <v>45938</v>
      </c>
      <c r="C264" t="s">
        <v>16</v>
      </c>
      <c r="D264" t="s">
        <v>44</v>
      </c>
      <c r="E264" t="s">
        <v>44</v>
      </c>
      <c r="F264" t="s">
        <v>39</v>
      </c>
      <c r="G264" t="s">
        <v>28</v>
      </c>
      <c r="H264" t="s">
        <v>29</v>
      </c>
      <c r="I264" t="s">
        <v>48</v>
      </c>
      <c r="J264">
        <v>7</v>
      </c>
      <c r="K264">
        <v>54497</v>
      </c>
      <c r="L264">
        <v>0</v>
      </c>
      <c r="M264">
        <v>381479</v>
      </c>
      <c r="N264">
        <v>88655.02</v>
      </c>
      <c r="O264" t="s">
        <v>34</v>
      </c>
    </row>
    <row r="265" spans="1:15" x14ac:dyDescent="0.25">
      <c r="A265" t="s">
        <v>335</v>
      </c>
      <c r="B265" s="1">
        <v>46011</v>
      </c>
      <c r="C265" t="s">
        <v>25</v>
      </c>
      <c r="D265" t="s">
        <v>61</v>
      </c>
      <c r="E265" t="s">
        <v>62</v>
      </c>
      <c r="F265" t="s">
        <v>33</v>
      </c>
      <c r="G265" t="s">
        <v>20</v>
      </c>
      <c r="H265" t="s">
        <v>40</v>
      </c>
      <c r="I265" t="s">
        <v>59</v>
      </c>
      <c r="J265">
        <v>3</v>
      </c>
      <c r="K265">
        <v>77132</v>
      </c>
      <c r="L265">
        <v>10</v>
      </c>
      <c r="M265">
        <v>208256.4</v>
      </c>
      <c r="N265">
        <v>39307.68</v>
      </c>
      <c r="O265" t="s">
        <v>34</v>
      </c>
    </row>
    <row r="266" spans="1:15" x14ac:dyDescent="0.25">
      <c r="A266" t="s">
        <v>336</v>
      </c>
      <c r="B266" s="1">
        <v>45949</v>
      </c>
      <c r="C266" t="s">
        <v>16</v>
      </c>
      <c r="D266" t="s">
        <v>17</v>
      </c>
      <c r="E266" t="s">
        <v>18</v>
      </c>
      <c r="F266" t="s">
        <v>93</v>
      </c>
      <c r="G266" t="s">
        <v>20</v>
      </c>
      <c r="H266" t="s">
        <v>77</v>
      </c>
      <c r="I266" t="s">
        <v>100</v>
      </c>
      <c r="J266">
        <v>10</v>
      </c>
      <c r="K266">
        <v>55669</v>
      </c>
      <c r="L266">
        <v>5</v>
      </c>
      <c r="M266">
        <v>528855.5</v>
      </c>
      <c r="N266">
        <v>110635.46</v>
      </c>
      <c r="O266" t="s">
        <v>42</v>
      </c>
    </row>
    <row r="267" spans="1:15" x14ac:dyDescent="0.25">
      <c r="A267" t="s">
        <v>337</v>
      </c>
      <c r="B267" s="1">
        <v>45872</v>
      </c>
      <c r="C267" t="s">
        <v>36</v>
      </c>
      <c r="D267" t="s">
        <v>50</v>
      </c>
      <c r="E267" t="s">
        <v>51</v>
      </c>
      <c r="F267" t="s">
        <v>72</v>
      </c>
      <c r="G267" t="s">
        <v>28</v>
      </c>
      <c r="H267" t="s">
        <v>29</v>
      </c>
      <c r="I267" t="s">
        <v>48</v>
      </c>
      <c r="J267">
        <v>5</v>
      </c>
      <c r="K267">
        <v>60619</v>
      </c>
      <c r="L267">
        <v>0</v>
      </c>
      <c r="M267">
        <v>303095</v>
      </c>
      <c r="N267">
        <v>71687.179999999993</v>
      </c>
      <c r="O267" t="s">
        <v>31</v>
      </c>
    </row>
    <row r="268" spans="1:15" x14ac:dyDescent="0.25">
      <c r="A268" t="s">
        <v>338</v>
      </c>
      <c r="B268" s="1">
        <v>45979</v>
      </c>
      <c r="C268" t="s">
        <v>16</v>
      </c>
      <c r="D268" t="s">
        <v>44</v>
      </c>
      <c r="E268" t="s">
        <v>44</v>
      </c>
      <c r="F268" t="s">
        <v>63</v>
      </c>
      <c r="G268" t="s">
        <v>20</v>
      </c>
      <c r="H268" t="s">
        <v>21</v>
      </c>
      <c r="I268" t="s">
        <v>45</v>
      </c>
      <c r="J268">
        <v>5</v>
      </c>
      <c r="K268">
        <v>63698</v>
      </c>
      <c r="L268">
        <v>20</v>
      </c>
      <c r="M268">
        <v>254792</v>
      </c>
      <c r="N268">
        <v>63477.36</v>
      </c>
      <c r="O268" t="s">
        <v>42</v>
      </c>
    </row>
    <row r="269" spans="1:15" x14ac:dyDescent="0.25">
      <c r="A269" t="s">
        <v>339</v>
      </c>
      <c r="B269" s="1">
        <v>45710</v>
      </c>
      <c r="C269" t="s">
        <v>36</v>
      </c>
      <c r="D269" t="s">
        <v>50</v>
      </c>
      <c r="E269" t="s">
        <v>51</v>
      </c>
      <c r="F269" t="s">
        <v>52</v>
      </c>
      <c r="G269" t="s">
        <v>20</v>
      </c>
      <c r="H269" t="s">
        <v>77</v>
      </c>
      <c r="I269" t="s">
        <v>100</v>
      </c>
      <c r="J269">
        <v>1</v>
      </c>
      <c r="K269">
        <v>61046</v>
      </c>
      <c r="L269">
        <v>0</v>
      </c>
      <c r="M269">
        <v>61046</v>
      </c>
      <c r="N269">
        <v>5014.1499999999996</v>
      </c>
      <c r="O269" t="s">
        <v>23</v>
      </c>
    </row>
    <row r="270" spans="1:15" x14ac:dyDescent="0.25">
      <c r="A270" t="s">
        <v>340</v>
      </c>
      <c r="B270" s="1">
        <v>45709</v>
      </c>
      <c r="C270" t="s">
        <v>25</v>
      </c>
      <c r="D270" t="s">
        <v>61</v>
      </c>
      <c r="E270" t="s">
        <v>62</v>
      </c>
      <c r="F270" t="s">
        <v>72</v>
      </c>
      <c r="G270" t="s">
        <v>20</v>
      </c>
      <c r="H270" t="s">
        <v>29</v>
      </c>
      <c r="I270" t="s">
        <v>48</v>
      </c>
      <c r="J270">
        <v>10</v>
      </c>
      <c r="K270">
        <v>12513</v>
      </c>
      <c r="L270">
        <v>0</v>
      </c>
      <c r="M270">
        <v>125130</v>
      </c>
      <c r="N270">
        <v>18571.419999999998</v>
      </c>
      <c r="O270" t="s">
        <v>42</v>
      </c>
    </row>
    <row r="271" spans="1:15" x14ac:dyDescent="0.25">
      <c r="A271" t="s">
        <v>341</v>
      </c>
      <c r="B271" s="1">
        <v>45680</v>
      </c>
      <c r="C271" t="s">
        <v>25</v>
      </c>
      <c r="D271" t="s">
        <v>26</v>
      </c>
      <c r="E271" t="s">
        <v>27</v>
      </c>
      <c r="F271" t="s">
        <v>52</v>
      </c>
      <c r="G271" t="s">
        <v>28</v>
      </c>
      <c r="H271" t="s">
        <v>40</v>
      </c>
      <c r="I271" t="s">
        <v>59</v>
      </c>
      <c r="J271">
        <v>9</v>
      </c>
      <c r="K271">
        <v>30798</v>
      </c>
      <c r="L271">
        <v>10</v>
      </c>
      <c r="M271">
        <v>249463.8</v>
      </c>
      <c r="N271">
        <v>33910.230000000003</v>
      </c>
      <c r="O271" t="s">
        <v>42</v>
      </c>
    </row>
    <row r="272" spans="1:15" x14ac:dyDescent="0.25">
      <c r="A272" t="s">
        <v>342</v>
      </c>
      <c r="B272" s="1">
        <v>45957</v>
      </c>
      <c r="C272" t="s">
        <v>16</v>
      </c>
      <c r="D272" t="s">
        <v>106</v>
      </c>
      <c r="E272" t="s">
        <v>107</v>
      </c>
      <c r="F272" t="s">
        <v>39</v>
      </c>
      <c r="G272" t="s">
        <v>20</v>
      </c>
      <c r="H272" t="s">
        <v>68</v>
      </c>
      <c r="I272" t="s">
        <v>69</v>
      </c>
      <c r="J272">
        <v>5</v>
      </c>
      <c r="K272">
        <v>217</v>
      </c>
      <c r="L272">
        <v>0</v>
      </c>
      <c r="M272">
        <v>1085</v>
      </c>
      <c r="N272">
        <v>201.35</v>
      </c>
      <c r="O272" t="s">
        <v>42</v>
      </c>
    </row>
    <row r="273" spans="1:15" x14ac:dyDescent="0.25">
      <c r="A273" t="s">
        <v>343</v>
      </c>
      <c r="B273" s="1">
        <v>45925</v>
      </c>
      <c r="C273" t="s">
        <v>25</v>
      </c>
      <c r="D273" t="s">
        <v>61</v>
      </c>
      <c r="E273" t="s">
        <v>62</v>
      </c>
      <c r="F273" t="s">
        <v>52</v>
      </c>
      <c r="G273" t="s">
        <v>20</v>
      </c>
      <c r="H273" t="s">
        <v>77</v>
      </c>
      <c r="I273" t="s">
        <v>88</v>
      </c>
      <c r="J273">
        <v>3</v>
      </c>
      <c r="K273">
        <v>33457</v>
      </c>
      <c r="L273">
        <v>5</v>
      </c>
      <c r="M273">
        <v>95352.45</v>
      </c>
      <c r="N273">
        <v>19322.8</v>
      </c>
      <c r="O273" t="s">
        <v>31</v>
      </c>
    </row>
    <row r="274" spans="1:15" x14ac:dyDescent="0.25">
      <c r="A274" t="s">
        <v>344</v>
      </c>
      <c r="B274" s="1">
        <v>46001</v>
      </c>
      <c r="C274" t="s">
        <v>16</v>
      </c>
      <c r="D274" t="s">
        <v>106</v>
      </c>
      <c r="E274" t="s">
        <v>107</v>
      </c>
      <c r="F274" t="s">
        <v>52</v>
      </c>
      <c r="G274" t="s">
        <v>20</v>
      </c>
      <c r="H274" t="s">
        <v>29</v>
      </c>
      <c r="I274" t="s">
        <v>30</v>
      </c>
      <c r="J274">
        <v>5</v>
      </c>
      <c r="K274">
        <v>47580</v>
      </c>
      <c r="L274">
        <v>0</v>
      </c>
      <c r="M274">
        <v>237900</v>
      </c>
      <c r="N274">
        <v>40117.589999999997</v>
      </c>
      <c r="O274" t="s">
        <v>34</v>
      </c>
    </row>
    <row r="275" spans="1:15" x14ac:dyDescent="0.25">
      <c r="A275" t="s">
        <v>345</v>
      </c>
      <c r="B275" s="1">
        <v>45758</v>
      </c>
      <c r="C275" t="s">
        <v>65</v>
      </c>
      <c r="D275" t="s">
        <v>82</v>
      </c>
      <c r="E275" t="s">
        <v>83</v>
      </c>
      <c r="F275" t="s">
        <v>39</v>
      </c>
      <c r="G275" t="s">
        <v>20</v>
      </c>
      <c r="H275" t="s">
        <v>21</v>
      </c>
      <c r="I275" t="s">
        <v>45</v>
      </c>
      <c r="J275">
        <v>8</v>
      </c>
      <c r="K275">
        <v>27885</v>
      </c>
      <c r="L275">
        <v>5</v>
      </c>
      <c r="M275">
        <v>211926</v>
      </c>
      <c r="N275">
        <v>41602.639999999999</v>
      </c>
      <c r="O275" t="s">
        <v>34</v>
      </c>
    </row>
    <row r="276" spans="1:15" x14ac:dyDescent="0.25">
      <c r="A276" t="s">
        <v>346</v>
      </c>
      <c r="B276" s="1">
        <v>45911</v>
      </c>
      <c r="C276" t="s">
        <v>36</v>
      </c>
      <c r="D276" t="s">
        <v>85</v>
      </c>
      <c r="E276" t="s">
        <v>86</v>
      </c>
      <c r="F276" t="s">
        <v>52</v>
      </c>
      <c r="G276" t="s">
        <v>28</v>
      </c>
      <c r="H276" t="s">
        <v>29</v>
      </c>
      <c r="I276" t="s">
        <v>48</v>
      </c>
      <c r="J276">
        <v>5</v>
      </c>
      <c r="K276">
        <v>54101</v>
      </c>
      <c r="L276">
        <v>0</v>
      </c>
      <c r="M276">
        <v>270505</v>
      </c>
      <c r="N276">
        <v>37390.589999999997</v>
      </c>
      <c r="O276" t="s">
        <v>31</v>
      </c>
    </row>
    <row r="277" spans="1:15" x14ac:dyDescent="0.25">
      <c r="A277" t="s">
        <v>347</v>
      </c>
      <c r="B277" s="1">
        <v>45870</v>
      </c>
      <c r="C277" t="s">
        <v>16</v>
      </c>
      <c r="D277" t="s">
        <v>44</v>
      </c>
      <c r="E277" t="s">
        <v>44</v>
      </c>
      <c r="F277" t="s">
        <v>39</v>
      </c>
      <c r="G277" t="s">
        <v>28</v>
      </c>
      <c r="H277" t="s">
        <v>68</v>
      </c>
      <c r="I277" t="s">
        <v>94</v>
      </c>
      <c r="J277">
        <v>4</v>
      </c>
      <c r="K277">
        <v>36398</v>
      </c>
      <c r="L277">
        <v>0</v>
      </c>
      <c r="M277">
        <v>145592</v>
      </c>
      <c r="N277">
        <v>29940.97</v>
      </c>
      <c r="O277" t="s">
        <v>34</v>
      </c>
    </row>
    <row r="278" spans="1:15" x14ac:dyDescent="0.25">
      <c r="A278" t="s">
        <v>348</v>
      </c>
      <c r="B278" s="1">
        <v>45912</v>
      </c>
      <c r="C278" t="s">
        <v>25</v>
      </c>
      <c r="D278" t="s">
        <v>26</v>
      </c>
      <c r="E278" t="s">
        <v>27</v>
      </c>
      <c r="F278" t="s">
        <v>19</v>
      </c>
      <c r="G278" t="s">
        <v>20</v>
      </c>
      <c r="H278" t="s">
        <v>40</v>
      </c>
      <c r="I278" t="s">
        <v>59</v>
      </c>
      <c r="J278">
        <v>4</v>
      </c>
      <c r="K278">
        <v>74557</v>
      </c>
      <c r="L278">
        <v>5</v>
      </c>
      <c r="M278">
        <v>283316.59999999998</v>
      </c>
      <c r="N278">
        <v>32963.9</v>
      </c>
      <c r="O278" t="s">
        <v>34</v>
      </c>
    </row>
    <row r="279" spans="1:15" x14ac:dyDescent="0.25">
      <c r="A279" t="s">
        <v>349</v>
      </c>
      <c r="B279" s="1">
        <v>45855</v>
      </c>
      <c r="C279" t="s">
        <v>16</v>
      </c>
      <c r="D279" t="s">
        <v>106</v>
      </c>
      <c r="E279" t="s">
        <v>107</v>
      </c>
      <c r="F279" t="s">
        <v>93</v>
      </c>
      <c r="G279" t="s">
        <v>20</v>
      </c>
      <c r="H279" t="s">
        <v>77</v>
      </c>
      <c r="I279" t="s">
        <v>78</v>
      </c>
      <c r="J279">
        <v>3</v>
      </c>
      <c r="K279">
        <v>21618</v>
      </c>
      <c r="L279">
        <v>0</v>
      </c>
      <c r="M279">
        <v>64854</v>
      </c>
      <c r="N279">
        <v>10056.02</v>
      </c>
      <c r="O279" t="s">
        <v>34</v>
      </c>
    </row>
    <row r="280" spans="1:15" x14ac:dyDescent="0.25">
      <c r="A280" t="s">
        <v>350</v>
      </c>
      <c r="B280" s="1">
        <v>45806</v>
      </c>
      <c r="C280" t="s">
        <v>16</v>
      </c>
      <c r="D280" t="s">
        <v>106</v>
      </c>
      <c r="E280" t="s">
        <v>107</v>
      </c>
      <c r="F280" t="s">
        <v>93</v>
      </c>
      <c r="G280" t="s">
        <v>20</v>
      </c>
      <c r="H280" t="s">
        <v>77</v>
      </c>
      <c r="I280" t="s">
        <v>100</v>
      </c>
      <c r="J280">
        <v>10</v>
      </c>
      <c r="K280">
        <v>28619</v>
      </c>
      <c r="L280">
        <v>0</v>
      </c>
      <c r="M280">
        <v>286190</v>
      </c>
      <c r="N280">
        <v>42419.73</v>
      </c>
      <c r="O280" t="s">
        <v>31</v>
      </c>
    </row>
    <row r="281" spans="1:15" x14ac:dyDescent="0.25">
      <c r="A281" t="s">
        <v>351</v>
      </c>
      <c r="B281" s="1">
        <v>45882</v>
      </c>
      <c r="C281" t="s">
        <v>65</v>
      </c>
      <c r="D281" t="s">
        <v>82</v>
      </c>
      <c r="E281" t="s">
        <v>83</v>
      </c>
      <c r="F281" t="s">
        <v>33</v>
      </c>
      <c r="G281" t="s">
        <v>20</v>
      </c>
      <c r="H281" t="s">
        <v>29</v>
      </c>
      <c r="I281" t="s">
        <v>53</v>
      </c>
      <c r="J281">
        <v>2</v>
      </c>
      <c r="K281">
        <v>44057</v>
      </c>
      <c r="L281">
        <v>20</v>
      </c>
      <c r="M281">
        <v>70491.199999999997</v>
      </c>
      <c r="N281">
        <v>15988.98</v>
      </c>
      <c r="O281" t="s">
        <v>42</v>
      </c>
    </row>
    <row r="282" spans="1:15" x14ac:dyDescent="0.25">
      <c r="A282" t="s">
        <v>352</v>
      </c>
      <c r="B282" s="1">
        <v>45717</v>
      </c>
      <c r="C282" t="s">
        <v>25</v>
      </c>
      <c r="D282" t="s">
        <v>26</v>
      </c>
      <c r="E282" t="s">
        <v>27</v>
      </c>
      <c r="F282" t="s">
        <v>33</v>
      </c>
      <c r="G282" t="s">
        <v>20</v>
      </c>
      <c r="H282" t="s">
        <v>77</v>
      </c>
      <c r="I282" t="s">
        <v>100</v>
      </c>
      <c r="J282">
        <v>6</v>
      </c>
      <c r="K282">
        <v>31046</v>
      </c>
      <c r="L282">
        <v>15</v>
      </c>
      <c r="M282">
        <v>158334.6</v>
      </c>
      <c r="N282">
        <v>36360.400000000001</v>
      </c>
      <c r="O282" t="s">
        <v>23</v>
      </c>
    </row>
    <row r="283" spans="1:15" x14ac:dyDescent="0.25">
      <c r="A283" t="s">
        <v>353</v>
      </c>
      <c r="B283" s="1">
        <v>45733</v>
      </c>
      <c r="C283" t="s">
        <v>65</v>
      </c>
      <c r="D283" t="s">
        <v>82</v>
      </c>
      <c r="E283" t="s">
        <v>83</v>
      </c>
      <c r="F283" t="s">
        <v>93</v>
      </c>
      <c r="G283" t="s">
        <v>28</v>
      </c>
      <c r="H283" t="s">
        <v>77</v>
      </c>
      <c r="I283" t="s">
        <v>88</v>
      </c>
      <c r="J283">
        <v>4</v>
      </c>
      <c r="K283">
        <v>26222</v>
      </c>
      <c r="L283">
        <v>15</v>
      </c>
      <c r="M283">
        <v>89154.8</v>
      </c>
      <c r="N283">
        <v>12693.84</v>
      </c>
      <c r="O283" t="s">
        <v>42</v>
      </c>
    </row>
    <row r="284" spans="1:15" x14ac:dyDescent="0.25">
      <c r="A284" t="s">
        <v>354</v>
      </c>
      <c r="B284" s="1">
        <v>45890</v>
      </c>
      <c r="C284" t="s">
        <v>65</v>
      </c>
      <c r="D284" t="s">
        <v>82</v>
      </c>
      <c r="E284" t="s">
        <v>83</v>
      </c>
      <c r="F284" t="s">
        <v>52</v>
      </c>
      <c r="G284" t="s">
        <v>28</v>
      </c>
      <c r="H284" t="s">
        <v>21</v>
      </c>
      <c r="I284" t="s">
        <v>22</v>
      </c>
      <c r="J284">
        <v>4</v>
      </c>
      <c r="K284">
        <v>56349</v>
      </c>
      <c r="L284">
        <v>0</v>
      </c>
      <c r="M284">
        <v>225396</v>
      </c>
      <c r="N284">
        <v>46696.05</v>
      </c>
      <c r="O284" t="s">
        <v>23</v>
      </c>
    </row>
    <row r="285" spans="1:15" x14ac:dyDescent="0.25">
      <c r="A285" t="s">
        <v>355</v>
      </c>
      <c r="B285" s="1">
        <v>45864</v>
      </c>
      <c r="C285" t="s">
        <v>36</v>
      </c>
      <c r="D285" t="s">
        <v>37</v>
      </c>
      <c r="E285" t="s">
        <v>38</v>
      </c>
      <c r="F285" t="s">
        <v>47</v>
      </c>
      <c r="G285" t="s">
        <v>28</v>
      </c>
      <c r="H285" t="s">
        <v>40</v>
      </c>
      <c r="I285" t="s">
        <v>41</v>
      </c>
      <c r="J285">
        <v>10</v>
      </c>
      <c r="K285">
        <v>35605</v>
      </c>
      <c r="L285">
        <v>15</v>
      </c>
      <c r="M285">
        <v>302642.5</v>
      </c>
      <c r="N285">
        <v>58806.5</v>
      </c>
      <c r="O285" t="s">
        <v>23</v>
      </c>
    </row>
    <row r="286" spans="1:15" x14ac:dyDescent="0.25">
      <c r="A286" t="s">
        <v>356</v>
      </c>
      <c r="B286" s="1">
        <v>45771</v>
      </c>
      <c r="C286" t="s">
        <v>16</v>
      </c>
      <c r="D286" t="s">
        <v>106</v>
      </c>
      <c r="E286" t="s">
        <v>107</v>
      </c>
      <c r="F286" t="s">
        <v>93</v>
      </c>
      <c r="G286" t="s">
        <v>20</v>
      </c>
      <c r="H286" t="s">
        <v>40</v>
      </c>
      <c r="I286" t="s">
        <v>80</v>
      </c>
      <c r="J286">
        <v>9</v>
      </c>
      <c r="K286">
        <v>59304</v>
      </c>
      <c r="L286">
        <v>15</v>
      </c>
      <c r="M286">
        <v>453675.6</v>
      </c>
      <c r="N286">
        <v>93170.9</v>
      </c>
      <c r="O286" t="s">
        <v>34</v>
      </c>
    </row>
    <row r="287" spans="1:15" x14ac:dyDescent="0.25">
      <c r="A287" t="s">
        <v>357</v>
      </c>
      <c r="B287" s="1">
        <v>45920</v>
      </c>
      <c r="C287" t="s">
        <v>65</v>
      </c>
      <c r="D287" t="s">
        <v>66</v>
      </c>
      <c r="E287" t="s">
        <v>67</v>
      </c>
      <c r="F287" t="s">
        <v>33</v>
      </c>
      <c r="G287" t="s">
        <v>28</v>
      </c>
      <c r="H287" t="s">
        <v>40</v>
      </c>
      <c r="I287" t="s">
        <v>80</v>
      </c>
      <c r="J287">
        <v>10</v>
      </c>
      <c r="K287">
        <v>37640</v>
      </c>
      <c r="L287">
        <v>5</v>
      </c>
      <c r="M287">
        <v>357580</v>
      </c>
      <c r="N287">
        <v>67262.990000000005</v>
      </c>
      <c r="O287" t="s">
        <v>34</v>
      </c>
    </row>
    <row r="288" spans="1:15" x14ac:dyDescent="0.25">
      <c r="A288" t="s">
        <v>358</v>
      </c>
      <c r="B288" s="1">
        <v>45903</v>
      </c>
      <c r="C288" t="s">
        <v>65</v>
      </c>
      <c r="D288" t="s">
        <v>66</v>
      </c>
      <c r="E288" t="s">
        <v>67</v>
      </c>
      <c r="F288" t="s">
        <v>63</v>
      </c>
      <c r="G288" t="s">
        <v>20</v>
      </c>
      <c r="H288" t="s">
        <v>29</v>
      </c>
      <c r="I288" t="s">
        <v>48</v>
      </c>
      <c r="J288">
        <v>7</v>
      </c>
      <c r="K288">
        <v>8128</v>
      </c>
      <c r="L288">
        <v>20</v>
      </c>
      <c r="M288">
        <v>45516.800000000003</v>
      </c>
      <c r="N288">
        <v>10258.66</v>
      </c>
      <c r="O288" t="s">
        <v>31</v>
      </c>
    </row>
    <row r="289" spans="1:15" x14ac:dyDescent="0.25">
      <c r="A289" t="s">
        <v>359</v>
      </c>
      <c r="B289" s="1">
        <v>45889</v>
      </c>
      <c r="C289" t="s">
        <v>65</v>
      </c>
      <c r="D289" t="s">
        <v>82</v>
      </c>
      <c r="E289" t="s">
        <v>83</v>
      </c>
      <c r="F289" t="s">
        <v>19</v>
      </c>
      <c r="G289" t="s">
        <v>20</v>
      </c>
      <c r="H289" t="s">
        <v>29</v>
      </c>
      <c r="I289" t="s">
        <v>30</v>
      </c>
      <c r="J289">
        <v>8</v>
      </c>
      <c r="K289">
        <v>32661</v>
      </c>
      <c r="L289">
        <v>15</v>
      </c>
      <c r="M289">
        <v>222094.8</v>
      </c>
      <c r="N289">
        <v>23266.16</v>
      </c>
      <c r="O289" t="s">
        <v>23</v>
      </c>
    </row>
    <row r="290" spans="1:15" x14ac:dyDescent="0.25">
      <c r="A290" t="s">
        <v>360</v>
      </c>
      <c r="B290" s="1">
        <v>45659</v>
      </c>
      <c r="C290" t="s">
        <v>25</v>
      </c>
      <c r="D290" t="s">
        <v>26</v>
      </c>
      <c r="E290" t="s">
        <v>27</v>
      </c>
      <c r="F290" t="s">
        <v>52</v>
      </c>
      <c r="G290" t="s">
        <v>20</v>
      </c>
      <c r="H290" t="s">
        <v>68</v>
      </c>
      <c r="I290" t="s">
        <v>69</v>
      </c>
      <c r="J290">
        <v>2</v>
      </c>
      <c r="K290">
        <v>49240</v>
      </c>
      <c r="L290">
        <v>0</v>
      </c>
      <c r="M290">
        <v>98480</v>
      </c>
      <c r="N290">
        <v>10004.950000000001</v>
      </c>
      <c r="O290" t="s">
        <v>31</v>
      </c>
    </row>
    <row r="291" spans="1:15" x14ac:dyDescent="0.25">
      <c r="A291" t="s">
        <v>361</v>
      </c>
      <c r="B291" s="1">
        <v>45746</v>
      </c>
      <c r="C291" t="s">
        <v>65</v>
      </c>
      <c r="D291" t="s">
        <v>82</v>
      </c>
      <c r="E291" t="s">
        <v>83</v>
      </c>
      <c r="F291" t="s">
        <v>52</v>
      </c>
      <c r="G291" t="s">
        <v>28</v>
      </c>
      <c r="H291" t="s">
        <v>40</v>
      </c>
      <c r="I291" t="s">
        <v>41</v>
      </c>
      <c r="J291">
        <v>5</v>
      </c>
      <c r="K291">
        <v>66906</v>
      </c>
      <c r="L291">
        <v>20</v>
      </c>
      <c r="M291">
        <v>267624</v>
      </c>
      <c r="N291">
        <v>50749.45</v>
      </c>
      <c r="O291" t="s">
        <v>42</v>
      </c>
    </row>
    <row r="292" spans="1:15" x14ac:dyDescent="0.25">
      <c r="A292" t="s">
        <v>362</v>
      </c>
      <c r="B292" s="1">
        <v>45991</v>
      </c>
      <c r="C292" t="s">
        <v>65</v>
      </c>
      <c r="D292" t="s">
        <v>82</v>
      </c>
      <c r="E292" t="s">
        <v>83</v>
      </c>
      <c r="F292" t="s">
        <v>39</v>
      </c>
      <c r="G292" t="s">
        <v>20</v>
      </c>
      <c r="H292" t="s">
        <v>29</v>
      </c>
      <c r="I292" t="s">
        <v>48</v>
      </c>
      <c r="J292">
        <v>4</v>
      </c>
      <c r="K292">
        <v>45212</v>
      </c>
      <c r="L292">
        <v>15</v>
      </c>
      <c r="M292">
        <v>153720.79999999999</v>
      </c>
      <c r="N292">
        <v>16585.080000000002</v>
      </c>
      <c r="O292" t="s">
        <v>23</v>
      </c>
    </row>
    <row r="293" spans="1:15" x14ac:dyDescent="0.25">
      <c r="A293" t="s">
        <v>363</v>
      </c>
      <c r="B293" s="1">
        <v>45744</v>
      </c>
      <c r="C293" t="s">
        <v>36</v>
      </c>
      <c r="D293" t="s">
        <v>37</v>
      </c>
      <c r="E293" t="s">
        <v>38</v>
      </c>
      <c r="F293" t="s">
        <v>47</v>
      </c>
      <c r="G293" t="s">
        <v>20</v>
      </c>
      <c r="H293" t="s">
        <v>40</v>
      </c>
      <c r="I293" t="s">
        <v>59</v>
      </c>
      <c r="J293">
        <v>6</v>
      </c>
      <c r="K293">
        <v>49747</v>
      </c>
      <c r="L293">
        <v>10</v>
      </c>
      <c r="M293">
        <v>268633.8</v>
      </c>
      <c r="N293">
        <v>38229.019999999997</v>
      </c>
      <c r="O293" t="s">
        <v>23</v>
      </c>
    </row>
    <row r="294" spans="1:15" x14ac:dyDescent="0.25">
      <c r="A294" t="s">
        <v>364</v>
      </c>
      <c r="B294" s="1">
        <v>45846</v>
      </c>
      <c r="C294" t="s">
        <v>36</v>
      </c>
      <c r="D294" t="s">
        <v>37</v>
      </c>
      <c r="E294" t="s">
        <v>38</v>
      </c>
      <c r="F294" t="s">
        <v>63</v>
      </c>
      <c r="G294" t="s">
        <v>28</v>
      </c>
      <c r="H294" t="s">
        <v>29</v>
      </c>
      <c r="I294" t="s">
        <v>53</v>
      </c>
      <c r="J294">
        <v>1</v>
      </c>
      <c r="K294">
        <v>69160</v>
      </c>
      <c r="L294">
        <v>15</v>
      </c>
      <c r="M294">
        <v>58786</v>
      </c>
      <c r="N294">
        <v>7463.86</v>
      </c>
      <c r="O294" t="s">
        <v>31</v>
      </c>
    </row>
    <row r="295" spans="1:15" x14ac:dyDescent="0.25">
      <c r="A295" t="s">
        <v>365</v>
      </c>
      <c r="B295" s="1">
        <v>46021</v>
      </c>
      <c r="C295" t="s">
        <v>65</v>
      </c>
      <c r="D295" t="s">
        <v>82</v>
      </c>
      <c r="E295" t="s">
        <v>83</v>
      </c>
      <c r="F295" t="s">
        <v>33</v>
      </c>
      <c r="G295" t="s">
        <v>28</v>
      </c>
      <c r="H295" t="s">
        <v>21</v>
      </c>
      <c r="I295" t="s">
        <v>56</v>
      </c>
      <c r="J295">
        <v>1</v>
      </c>
      <c r="K295">
        <v>46733</v>
      </c>
      <c r="L295">
        <v>10</v>
      </c>
      <c r="M295">
        <v>42059.7</v>
      </c>
      <c r="N295">
        <v>4122.33</v>
      </c>
      <c r="O295" t="s">
        <v>23</v>
      </c>
    </row>
    <row r="296" spans="1:15" x14ac:dyDescent="0.25">
      <c r="A296" t="s">
        <v>366</v>
      </c>
      <c r="B296" s="1">
        <v>45803</v>
      </c>
      <c r="C296" t="s">
        <v>65</v>
      </c>
      <c r="D296" t="s">
        <v>82</v>
      </c>
      <c r="E296" t="s">
        <v>83</v>
      </c>
      <c r="F296" t="s">
        <v>93</v>
      </c>
      <c r="G296" t="s">
        <v>28</v>
      </c>
      <c r="H296" t="s">
        <v>77</v>
      </c>
      <c r="I296" t="s">
        <v>78</v>
      </c>
      <c r="J296">
        <v>4</v>
      </c>
      <c r="K296">
        <v>75796</v>
      </c>
      <c r="L296">
        <v>10</v>
      </c>
      <c r="M296">
        <v>272865.59999999998</v>
      </c>
      <c r="N296">
        <v>55384.58</v>
      </c>
      <c r="O296" t="s">
        <v>34</v>
      </c>
    </row>
    <row r="297" spans="1:15" x14ac:dyDescent="0.25">
      <c r="A297" t="s">
        <v>367</v>
      </c>
      <c r="B297" s="1">
        <v>45826</v>
      </c>
      <c r="C297" t="s">
        <v>16</v>
      </c>
      <c r="D297" t="s">
        <v>44</v>
      </c>
      <c r="E297" t="s">
        <v>44</v>
      </c>
      <c r="F297" t="s">
        <v>63</v>
      </c>
      <c r="G297" t="s">
        <v>28</v>
      </c>
      <c r="H297" t="s">
        <v>21</v>
      </c>
      <c r="I297" t="s">
        <v>56</v>
      </c>
      <c r="J297">
        <v>7</v>
      </c>
      <c r="K297">
        <v>35014</v>
      </c>
      <c r="L297">
        <v>5</v>
      </c>
      <c r="M297">
        <v>232843.1</v>
      </c>
      <c r="N297">
        <v>28404.16</v>
      </c>
      <c r="O297" t="s">
        <v>42</v>
      </c>
    </row>
    <row r="298" spans="1:15" x14ac:dyDescent="0.25">
      <c r="A298" t="s">
        <v>368</v>
      </c>
      <c r="B298" s="1">
        <v>45829</v>
      </c>
      <c r="C298" t="s">
        <v>36</v>
      </c>
      <c r="D298" t="s">
        <v>85</v>
      </c>
      <c r="E298" t="s">
        <v>86</v>
      </c>
      <c r="F298" t="s">
        <v>93</v>
      </c>
      <c r="G298" t="s">
        <v>28</v>
      </c>
      <c r="H298" t="s">
        <v>77</v>
      </c>
      <c r="I298" t="s">
        <v>88</v>
      </c>
      <c r="J298">
        <v>8</v>
      </c>
      <c r="K298">
        <v>68587</v>
      </c>
      <c r="L298">
        <v>10</v>
      </c>
      <c r="M298">
        <v>493826.4</v>
      </c>
      <c r="N298">
        <v>87930.74</v>
      </c>
      <c r="O298" t="s">
        <v>34</v>
      </c>
    </row>
    <row r="299" spans="1:15" x14ac:dyDescent="0.25">
      <c r="A299" t="s">
        <v>369</v>
      </c>
      <c r="B299" s="1">
        <v>45989</v>
      </c>
      <c r="C299" t="s">
        <v>25</v>
      </c>
      <c r="D299" t="s">
        <v>26</v>
      </c>
      <c r="E299" t="s">
        <v>27</v>
      </c>
      <c r="F299" t="s">
        <v>33</v>
      </c>
      <c r="G299" t="s">
        <v>28</v>
      </c>
      <c r="H299" t="s">
        <v>68</v>
      </c>
      <c r="I299" t="s">
        <v>90</v>
      </c>
      <c r="J299">
        <v>1</v>
      </c>
      <c r="K299">
        <v>40602</v>
      </c>
      <c r="L299">
        <v>20</v>
      </c>
      <c r="M299">
        <v>32481.599999999999</v>
      </c>
      <c r="N299">
        <v>5107.78</v>
      </c>
      <c r="O299" t="s">
        <v>42</v>
      </c>
    </row>
    <row r="300" spans="1:15" x14ac:dyDescent="0.25">
      <c r="A300" t="s">
        <v>370</v>
      </c>
      <c r="B300" s="1">
        <v>45774</v>
      </c>
      <c r="C300" t="s">
        <v>16</v>
      </c>
      <c r="D300" t="s">
        <v>44</v>
      </c>
      <c r="E300" t="s">
        <v>44</v>
      </c>
      <c r="F300" t="s">
        <v>39</v>
      </c>
      <c r="G300" t="s">
        <v>20</v>
      </c>
      <c r="H300" t="s">
        <v>40</v>
      </c>
      <c r="I300" t="s">
        <v>59</v>
      </c>
      <c r="J300">
        <v>2</v>
      </c>
      <c r="K300">
        <v>26129</v>
      </c>
      <c r="L300">
        <v>0</v>
      </c>
      <c r="M300">
        <v>52258</v>
      </c>
      <c r="N300">
        <v>6096.97</v>
      </c>
      <c r="O300" t="s">
        <v>42</v>
      </c>
    </row>
    <row r="301" spans="1:15" x14ac:dyDescent="0.25">
      <c r="A301" t="s">
        <v>371</v>
      </c>
      <c r="B301" s="1">
        <v>45788</v>
      </c>
      <c r="C301" t="s">
        <v>16</v>
      </c>
      <c r="D301" t="s">
        <v>17</v>
      </c>
      <c r="E301" t="s">
        <v>18</v>
      </c>
      <c r="F301" t="s">
        <v>39</v>
      </c>
      <c r="G301" t="s">
        <v>20</v>
      </c>
      <c r="H301" t="s">
        <v>29</v>
      </c>
      <c r="I301" t="s">
        <v>30</v>
      </c>
      <c r="J301">
        <v>3</v>
      </c>
      <c r="K301">
        <v>79120</v>
      </c>
      <c r="L301">
        <v>10</v>
      </c>
      <c r="M301">
        <v>213624</v>
      </c>
      <c r="N301">
        <v>18321.23</v>
      </c>
      <c r="O301" t="s">
        <v>34</v>
      </c>
    </row>
    <row r="302" spans="1:15" x14ac:dyDescent="0.25">
      <c r="A302" t="s">
        <v>372</v>
      </c>
      <c r="B302" s="1">
        <v>45724</v>
      </c>
      <c r="C302" t="s">
        <v>16</v>
      </c>
      <c r="D302" t="s">
        <v>106</v>
      </c>
      <c r="E302" t="s">
        <v>107</v>
      </c>
      <c r="F302" t="s">
        <v>47</v>
      </c>
      <c r="G302" t="s">
        <v>20</v>
      </c>
      <c r="H302" t="s">
        <v>21</v>
      </c>
      <c r="I302" t="s">
        <v>22</v>
      </c>
      <c r="J302">
        <v>3</v>
      </c>
      <c r="K302">
        <v>41783</v>
      </c>
      <c r="L302">
        <v>0</v>
      </c>
      <c r="M302">
        <v>125349</v>
      </c>
      <c r="N302">
        <v>25629.31</v>
      </c>
      <c r="O302" t="s">
        <v>23</v>
      </c>
    </row>
    <row r="303" spans="1:15" x14ac:dyDescent="0.25">
      <c r="A303" t="s">
        <v>373</v>
      </c>
      <c r="B303" s="1">
        <v>45775</v>
      </c>
      <c r="C303" t="s">
        <v>16</v>
      </c>
      <c r="D303" t="s">
        <v>44</v>
      </c>
      <c r="E303" t="s">
        <v>44</v>
      </c>
      <c r="F303" t="s">
        <v>63</v>
      </c>
      <c r="G303" t="s">
        <v>28</v>
      </c>
      <c r="H303" t="s">
        <v>77</v>
      </c>
      <c r="I303" t="s">
        <v>100</v>
      </c>
      <c r="J303">
        <v>9</v>
      </c>
      <c r="K303">
        <v>4020</v>
      </c>
      <c r="L303">
        <v>5</v>
      </c>
      <c r="M303">
        <v>34371</v>
      </c>
      <c r="N303">
        <v>6823.55</v>
      </c>
      <c r="O303" t="s">
        <v>42</v>
      </c>
    </row>
    <row r="304" spans="1:15" x14ac:dyDescent="0.25">
      <c r="A304" t="s">
        <v>374</v>
      </c>
      <c r="B304" s="1">
        <v>45728</v>
      </c>
      <c r="C304" t="s">
        <v>36</v>
      </c>
      <c r="D304" t="s">
        <v>85</v>
      </c>
      <c r="E304" t="s">
        <v>86</v>
      </c>
      <c r="F304" t="s">
        <v>63</v>
      </c>
      <c r="G304" t="s">
        <v>28</v>
      </c>
      <c r="H304" t="s">
        <v>77</v>
      </c>
      <c r="I304" t="s">
        <v>78</v>
      </c>
      <c r="J304">
        <v>2</v>
      </c>
      <c r="K304">
        <v>21419</v>
      </c>
      <c r="L304">
        <v>0</v>
      </c>
      <c r="M304">
        <v>42838</v>
      </c>
      <c r="N304">
        <v>7112.23</v>
      </c>
      <c r="O304" t="s">
        <v>42</v>
      </c>
    </row>
    <row r="305" spans="1:15" x14ac:dyDescent="0.25">
      <c r="A305" t="s">
        <v>375</v>
      </c>
      <c r="B305" s="1">
        <v>45726</v>
      </c>
      <c r="C305" t="s">
        <v>65</v>
      </c>
      <c r="D305" t="s">
        <v>66</v>
      </c>
      <c r="E305" t="s">
        <v>67</v>
      </c>
      <c r="F305" t="s">
        <v>52</v>
      </c>
      <c r="G305" t="s">
        <v>28</v>
      </c>
      <c r="H305" t="s">
        <v>68</v>
      </c>
      <c r="I305" t="s">
        <v>94</v>
      </c>
      <c r="J305">
        <v>3</v>
      </c>
      <c r="K305">
        <v>77948</v>
      </c>
      <c r="L305">
        <v>0</v>
      </c>
      <c r="M305">
        <v>233844</v>
      </c>
      <c r="N305">
        <v>56408.66</v>
      </c>
      <c r="O305" t="s">
        <v>31</v>
      </c>
    </row>
    <row r="306" spans="1:15" x14ac:dyDescent="0.25">
      <c r="A306" t="s">
        <v>376</v>
      </c>
      <c r="B306" s="1">
        <v>45718</v>
      </c>
      <c r="C306" t="s">
        <v>36</v>
      </c>
      <c r="D306" t="s">
        <v>37</v>
      </c>
      <c r="E306" t="s">
        <v>38</v>
      </c>
      <c r="F306" t="s">
        <v>33</v>
      </c>
      <c r="G306" t="s">
        <v>20</v>
      </c>
      <c r="H306" t="s">
        <v>21</v>
      </c>
      <c r="I306" t="s">
        <v>22</v>
      </c>
      <c r="J306">
        <v>2</v>
      </c>
      <c r="K306">
        <v>38267</v>
      </c>
      <c r="L306">
        <v>20</v>
      </c>
      <c r="M306">
        <v>61227.199999999997</v>
      </c>
      <c r="N306">
        <v>13828.24</v>
      </c>
      <c r="O306" t="s">
        <v>31</v>
      </c>
    </row>
    <row r="307" spans="1:15" x14ac:dyDescent="0.25">
      <c r="A307" t="s">
        <v>377</v>
      </c>
      <c r="B307" s="1">
        <v>45688</v>
      </c>
      <c r="C307" t="s">
        <v>65</v>
      </c>
      <c r="D307" t="s">
        <v>66</v>
      </c>
      <c r="E307" t="s">
        <v>67</v>
      </c>
      <c r="F307" t="s">
        <v>63</v>
      </c>
      <c r="G307" t="s">
        <v>20</v>
      </c>
      <c r="H307" t="s">
        <v>21</v>
      </c>
      <c r="I307" t="s">
        <v>22</v>
      </c>
      <c r="J307">
        <v>2</v>
      </c>
      <c r="K307">
        <v>16625</v>
      </c>
      <c r="L307">
        <v>10</v>
      </c>
      <c r="M307">
        <v>29925</v>
      </c>
      <c r="N307">
        <v>4984.08</v>
      </c>
      <c r="O307" t="s">
        <v>42</v>
      </c>
    </row>
    <row r="308" spans="1:15" x14ac:dyDescent="0.25">
      <c r="A308" t="s">
        <v>378</v>
      </c>
      <c r="B308" s="1">
        <v>45836</v>
      </c>
      <c r="C308" t="s">
        <v>36</v>
      </c>
      <c r="D308" t="s">
        <v>37</v>
      </c>
      <c r="E308" t="s">
        <v>38</v>
      </c>
      <c r="F308" t="s">
        <v>52</v>
      </c>
      <c r="G308" t="s">
        <v>20</v>
      </c>
      <c r="H308" t="s">
        <v>68</v>
      </c>
      <c r="I308" t="s">
        <v>69</v>
      </c>
      <c r="J308">
        <v>2</v>
      </c>
      <c r="K308">
        <v>18481</v>
      </c>
      <c r="L308">
        <v>10</v>
      </c>
      <c r="M308">
        <v>33265.800000000003</v>
      </c>
      <c r="N308">
        <v>5410.38</v>
      </c>
      <c r="O308" t="s">
        <v>23</v>
      </c>
    </row>
    <row r="309" spans="1:15" x14ac:dyDescent="0.25">
      <c r="A309" t="s">
        <v>379</v>
      </c>
      <c r="B309" s="1">
        <v>45952</v>
      </c>
      <c r="C309" t="s">
        <v>36</v>
      </c>
      <c r="D309" t="s">
        <v>37</v>
      </c>
      <c r="E309" t="s">
        <v>38</v>
      </c>
      <c r="F309" t="s">
        <v>63</v>
      </c>
      <c r="G309" t="s">
        <v>28</v>
      </c>
      <c r="H309" t="s">
        <v>21</v>
      </c>
      <c r="I309" t="s">
        <v>22</v>
      </c>
      <c r="J309">
        <v>3</v>
      </c>
      <c r="K309">
        <v>545</v>
      </c>
      <c r="L309">
        <v>20</v>
      </c>
      <c r="M309">
        <v>1308</v>
      </c>
      <c r="N309">
        <v>109.4</v>
      </c>
      <c r="O309" t="s">
        <v>23</v>
      </c>
    </row>
    <row r="310" spans="1:15" x14ac:dyDescent="0.25">
      <c r="A310" t="s">
        <v>380</v>
      </c>
      <c r="B310" s="1">
        <v>45687</v>
      </c>
      <c r="C310" t="s">
        <v>36</v>
      </c>
      <c r="D310" t="s">
        <v>50</v>
      </c>
      <c r="E310" t="s">
        <v>51</v>
      </c>
      <c r="F310" t="s">
        <v>33</v>
      </c>
      <c r="G310" t="s">
        <v>20</v>
      </c>
      <c r="H310" t="s">
        <v>29</v>
      </c>
      <c r="I310" t="s">
        <v>30</v>
      </c>
      <c r="J310">
        <v>6</v>
      </c>
      <c r="K310">
        <v>1619</v>
      </c>
      <c r="L310">
        <v>0</v>
      </c>
      <c r="M310">
        <v>9714</v>
      </c>
      <c r="N310">
        <v>2281.54</v>
      </c>
      <c r="O310" t="s">
        <v>34</v>
      </c>
    </row>
    <row r="311" spans="1:15" x14ac:dyDescent="0.25">
      <c r="A311" t="s">
        <v>381</v>
      </c>
      <c r="B311" s="1">
        <v>45983</v>
      </c>
      <c r="C311" t="s">
        <v>36</v>
      </c>
      <c r="D311" t="s">
        <v>37</v>
      </c>
      <c r="E311" t="s">
        <v>38</v>
      </c>
      <c r="F311" t="s">
        <v>52</v>
      </c>
      <c r="G311" t="s">
        <v>28</v>
      </c>
      <c r="H311" t="s">
        <v>21</v>
      </c>
      <c r="I311" t="s">
        <v>56</v>
      </c>
      <c r="J311">
        <v>5</v>
      </c>
      <c r="K311">
        <v>60309</v>
      </c>
      <c r="L311">
        <v>5</v>
      </c>
      <c r="M311">
        <v>286467.75</v>
      </c>
      <c r="N311">
        <v>40301.14</v>
      </c>
      <c r="O311" t="s">
        <v>31</v>
      </c>
    </row>
    <row r="312" spans="1:15" x14ac:dyDescent="0.25">
      <c r="A312" t="s">
        <v>382</v>
      </c>
      <c r="B312" s="1">
        <v>45679</v>
      </c>
      <c r="C312" t="s">
        <v>36</v>
      </c>
      <c r="D312" t="s">
        <v>85</v>
      </c>
      <c r="E312" t="s">
        <v>86</v>
      </c>
      <c r="F312" t="s">
        <v>47</v>
      </c>
      <c r="G312" t="s">
        <v>20</v>
      </c>
      <c r="H312" t="s">
        <v>40</v>
      </c>
      <c r="I312" t="s">
        <v>41</v>
      </c>
      <c r="J312">
        <v>8</v>
      </c>
      <c r="K312">
        <v>68699</v>
      </c>
      <c r="L312">
        <v>20</v>
      </c>
      <c r="M312">
        <v>439673.59999999998</v>
      </c>
      <c r="N312">
        <v>60998.64</v>
      </c>
      <c r="O312" t="s">
        <v>31</v>
      </c>
    </row>
    <row r="313" spans="1:15" x14ac:dyDescent="0.25">
      <c r="A313" t="s">
        <v>383</v>
      </c>
      <c r="B313" s="1">
        <v>45738</v>
      </c>
      <c r="C313" t="s">
        <v>16</v>
      </c>
      <c r="D313" t="s">
        <v>17</v>
      </c>
      <c r="E313" t="s">
        <v>18</v>
      </c>
      <c r="F313" t="s">
        <v>63</v>
      </c>
      <c r="G313" t="s">
        <v>20</v>
      </c>
      <c r="H313" t="s">
        <v>68</v>
      </c>
      <c r="I313" t="s">
        <v>90</v>
      </c>
      <c r="J313">
        <v>2</v>
      </c>
      <c r="K313">
        <v>15644</v>
      </c>
      <c r="L313">
        <v>10</v>
      </c>
      <c r="M313">
        <v>28159.200000000001</v>
      </c>
      <c r="N313">
        <v>3774.92</v>
      </c>
      <c r="O313" t="s">
        <v>34</v>
      </c>
    </row>
    <row r="314" spans="1:15" x14ac:dyDescent="0.25">
      <c r="A314" t="s">
        <v>384</v>
      </c>
      <c r="B314" s="1">
        <v>45897</v>
      </c>
      <c r="C314" t="s">
        <v>36</v>
      </c>
      <c r="D314" t="s">
        <v>50</v>
      </c>
      <c r="E314" t="s">
        <v>51</v>
      </c>
      <c r="F314" t="s">
        <v>47</v>
      </c>
      <c r="G314" t="s">
        <v>28</v>
      </c>
      <c r="H314" t="s">
        <v>21</v>
      </c>
      <c r="I314" t="s">
        <v>45</v>
      </c>
      <c r="J314">
        <v>1</v>
      </c>
      <c r="K314">
        <v>20575</v>
      </c>
      <c r="L314">
        <v>0</v>
      </c>
      <c r="M314">
        <v>20575</v>
      </c>
      <c r="N314">
        <v>4092.39</v>
      </c>
      <c r="O314" t="s">
        <v>23</v>
      </c>
    </row>
    <row r="315" spans="1:15" x14ac:dyDescent="0.25">
      <c r="A315" t="s">
        <v>385</v>
      </c>
      <c r="B315" s="1">
        <v>45988</v>
      </c>
      <c r="C315" t="s">
        <v>25</v>
      </c>
      <c r="D315" t="s">
        <v>61</v>
      </c>
      <c r="E315" t="s">
        <v>62</v>
      </c>
      <c r="F315" t="s">
        <v>52</v>
      </c>
      <c r="G315" t="s">
        <v>28</v>
      </c>
      <c r="H315" t="s">
        <v>77</v>
      </c>
      <c r="I315" t="s">
        <v>100</v>
      </c>
      <c r="J315">
        <v>10</v>
      </c>
      <c r="K315">
        <v>77821</v>
      </c>
      <c r="L315">
        <v>15</v>
      </c>
      <c r="M315">
        <v>661478.5</v>
      </c>
      <c r="N315">
        <v>106839.55</v>
      </c>
      <c r="O315" t="s">
        <v>42</v>
      </c>
    </row>
    <row r="316" spans="1:15" x14ac:dyDescent="0.25">
      <c r="A316" t="s">
        <v>386</v>
      </c>
      <c r="B316" s="1">
        <v>45968</v>
      </c>
      <c r="C316" t="s">
        <v>36</v>
      </c>
      <c r="D316" t="s">
        <v>85</v>
      </c>
      <c r="E316" t="s">
        <v>86</v>
      </c>
      <c r="F316" t="s">
        <v>72</v>
      </c>
      <c r="G316" t="s">
        <v>28</v>
      </c>
      <c r="H316" t="s">
        <v>68</v>
      </c>
      <c r="I316" t="s">
        <v>69</v>
      </c>
      <c r="J316">
        <v>6</v>
      </c>
      <c r="K316">
        <v>68334</v>
      </c>
      <c r="L316">
        <v>15</v>
      </c>
      <c r="M316">
        <v>348503.4</v>
      </c>
      <c r="N316">
        <v>82403.199999999997</v>
      </c>
      <c r="O316" t="s">
        <v>23</v>
      </c>
    </row>
    <row r="317" spans="1:15" x14ac:dyDescent="0.25">
      <c r="A317" t="s">
        <v>387</v>
      </c>
      <c r="B317" s="1">
        <v>45693</v>
      </c>
      <c r="C317" t="s">
        <v>36</v>
      </c>
      <c r="D317" t="s">
        <v>85</v>
      </c>
      <c r="E317" t="s">
        <v>86</v>
      </c>
      <c r="F317" t="s">
        <v>47</v>
      </c>
      <c r="G317" t="s">
        <v>28</v>
      </c>
      <c r="H317" t="s">
        <v>77</v>
      </c>
      <c r="I317" t="s">
        <v>100</v>
      </c>
      <c r="J317">
        <v>6</v>
      </c>
      <c r="K317">
        <v>33742</v>
      </c>
      <c r="L317">
        <v>10</v>
      </c>
      <c r="M317">
        <v>182206.8</v>
      </c>
      <c r="N317">
        <v>24158.75</v>
      </c>
      <c r="O317" t="s">
        <v>34</v>
      </c>
    </row>
    <row r="318" spans="1:15" x14ac:dyDescent="0.25">
      <c r="A318" t="s">
        <v>388</v>
      </c>
      <c r="B318" s="1">
        <v>45720</v>
      </c>
      <c r="C318" t="s">
        <v>16</v>
      </c>
      <c r="D318" t="s">
        <v>17</v>
      </c>
      <c r="E318" t="s">
        <v>18</v>
      </c>
      <c r="F318" t="s">
        <v>33</v>
      </c>
      <c r="G318" t="s">
        <v>28</v>
      </c>
      <c r="H318" t="s">
        <v>21</v>
      </c>
      <c r="I318" t="s">
        <v>56</v>
      </c>
      <c r="J318">
        <v>8</v>
      </c>
      <c r="K318">
        <v>21205</v>
      </c>
      <c r="L318">
        <v>5</v>
      </c>
      <c r="M318">
        <v>161158</v>
      </c>
      <c r="N318">
        <v>13821.83</v>
      </c>
      <c r="O318" t="s">
        <v>31</v>
      </c>
    </row>
    <row r="319" spans="1:15" x14ac:dyDescent="0.25">
      <c r="A319" t="s">
        <v>389</v>
      </c>
      <c r="B319" s="1">
        <v>45855</v>
      </c>
      <c r="C319" t="s">
        <v>65</v>
      </c>
      <c r="D319" t="s">
        <v>66</v>
      </c>
      <c r="E319" t="s">
        <v>67</v>
      </c>
      <c r="F319" t="s">
        <v>63</v>
      </c>
      <c r="G319" t="s">
        <v>20</v>
      </c>
      <c r="H319" t="s">
        <v>68</v>
      </c>
      <c r="I319" t="s">
        <v>90</v>
      </c>
      <c r="J319">
        <v>6</v>
      </c>
      <c r="K319">
        <v>27907</v>
      </c>
      <c r="L319">
        <v>5</v>
      </c>
      <c r="M319">
        <v>159069.9</v>
      </c>
      <c r="N319">
        <v>21433.24</v>
      </c>
      <c r="O319" t="s">
        <v>34</v>
      </c>
    </row>
    <row r="320" spans="1:15" x14ac:dyDescent="0.25">
      <c r="A320" t="s">
        <v>390</v>
      </c>
      <c r="B320" s="1">
        <v>45735</v>
      </c>
      <c r="C320" t="s">
        <v>65</v>
      </c>
      <c r="D320" t="s">
        <v>66</v>
      </c>
      <c r="E320" t="s">
        <v>67</v>
      </c>
      <c r="F320" t="s">
        <v>33</v>
      </c>
      <c r="G320" t="s">
        <v>20</v>
      </c>
      <c r="H320" t="s">
        <v>29</v>
      </c>
      <c r="I320" t="s">
        <v>53</v>
      </c>
      <c r="J320">
        <v>4</v>
      </c>
      <c r="K320">
        <v>73058</v>
      </c>
      <c r="L320">
        <v>0</v>
      </c>
      <c r="M320">
        <v>292232</v>
      </c>
      <c r="N320">
        <v>58484.639999999999</v>
      </c>
      <c r="O320" t="s">
        <v>31</v>
      </c>
    </row>
    <row r="321" spans="1:15" x14ac:dyDescent="0.25">
      <c r="A321" t="s">
        <v>391</v>
      </c>
      <c r="B321" s="1">
        <v>45790</v>
      </c>
      <c r="C321" t="s">
        <v>16</v>
      </c>
      <c r="D321" t="s">
        <v>106</v>
      </c>
      <c r="E321" t="s">
        <v>107</v>
      </c>
      <c r="F321" t="s">
        <v>63</v>
      </c>
      <c r="G321" t="s">
        <v>28</v>
      </c>
      <c r="H321" t="s">
        <v>29</v>
      </c>
      <c r="I321" t="s">
        <v>53</v>
      </c>
      <c r="J321">
        <v>4</v>
      </c>
      <c r="K321">
        <v>70080</v>
      </c>
      <c r="L321">
        <v>10</v>
      </c>
      <c r="M321">
        <v>252288</v>
      </c>
      <c r="N321">
        <v>43375.59</v>
      </c>
      <c r="O321" t="s">
        <v>23</v>
      </c>
    </row>
    <row r="322" spans="1:15" x14ac:dyDescent="0.25">
      <c r="A322" t="s">
        <v>392</v>
      </c>
      <c r="B322" s="1">
        <v>45787</v>
      </c>
      <c r="C322" t="s">
        <v>65</v>
      </c>
      <c r="D322" t="s">
        <v>66</v>
      </c>
      <c r="E322" t="s">
        <v>67</v>
      </c>
      <c r="F322" t="s">
        <v>19</v>
      </c>
      <c r="G322" t="s">
        <v>20</v>
      </c>
      <c r="H322" t="s">
        <v>68</v>
      </c>
      <c r="I322" t="s">
        <v>90</v>
      </c>
      <c r="J322">
        <v>10</v>
      </c>
      <c r="K322">
        <v>18630</v>
      </c>
      <c r="L322">
        <v>20</v>
      </c>
      <c r="M322">
        <v>149040</v>
      </c>
      <c r="N322">
        <v>15183.13</v>
      </c>
      <c r="O322" t="s">
        <v>23</v>
      </c>
    </row>
    <row r="323" spans="1:15" x14ac:dyDescent="0.25">
      <c r="A323" t="s">
        <v>393</v>
      </c>
      <c r="B323" s="1">
        <v>45816</v>
      </c>
      <c r="C323" t="s">
        <v>25</v>
      </c>
      <c r="D323" t="s">
        <v>26</v>
      </c>
      <c r="E323" t="s">
        <v>27</v>
      </c>
      <c r="F323" t="s">
        <v>39</v>
      </c>
      <c r="G323" t="s">
        <v>20</v>
      </c>
      <c r="H323" t="s">
        <v>68</v>
      </c>
      <c r="I323" t="s">
        <v>94</v>
      </c>
      <c r="J323">
        <v>1</v>
      </c>
      <c r="K323">
        <v>1547</v>
      </c>
      <c r="L323">
        <v>5</v>
      </c>
      <c r="M323">
        <v>1469.65</v>
      </c>
      <c r="N323">
        <v>288.79000000000002</v>
      </c>
      <c r="O323" t="s">
        <v>31</v>
      </c>
    </row>
    <row r="324" spans="1:15" x14ac:dyDescent="0.25">
      <c r="A324" t="s">
        <v>394</v>
      </c>
      <c r="B324" s="1">
        <v>45916</v>
      </c>
      <c r="C324" t="s">
        <v>65</v>
      </c>
      <c r="D324" t="s">
        <v>66</v>
      </c>
      <c r="E324" t="s">
        <v>67</v>
      </c>
      <c r="F324" t="s">
        <v>72</v>
      </c>
      <c r="G324" t="s">
        <v>28</v>
      </c>
      <c r="H324" t="s">
        <v>68</v>
      </c>
      <c r="I324" t="s">
        <v>69</v>
      </c>
      <c r="J324">
        <v>2</v>
      </c>
      <c r="K324">
        <v>25909</v>
      </c>
      <c r="L324">
        <v>15</v>
      </c>
      <c r="M324">
        <v>44045.3</v>
      </c>
      <c r="N324">
        <v>7114.63</v>
      </c>
      <c r="O324" t="s">
        <v>31</v>
      </c>
    </row>
    <row r="325" spans="1:15" x14ac:dyDescent="0.25">
      <c r="A325" t="s">
        <v>395</v>
      </c>
      <c r="B325" s="1">
        <v>45662</v>
      </c>
      <c r="C325" t="s">
        <v>25</v>
      </c>
      <c r="D325" t="s">
        <v>26</v>
      </c>
      <c r="E325" t="s">
        <v>27</v>
      </c>
      <c r="F325" t="s">
        <v>19</v>
      </c>
      <c r="G325" t="s">
        <v>20</v>
      </c>
      <c r="H325" t="s">
        <v>77</v>
      </c>
      <c r="I325" t="s">
        <v>100</v>
      </c>
      <c r="J325">
        <v>9</v>
      </c>
      <c r="K325">
        <v>4217</v>
      </c>
      <c r="L325">
        <v>5</v>
      </c>
      <c r="M325">
        <v>36055.35</v>
      </c>
      <c r="N325">
        <v>5173.88</v>
      </c>
      <c r="O325" t="s">
        <v>23</v>
      </c>
    </row>
    <row r="326" spans="1:15" x14ac:dyDescent="0.25">
      <c r="A326" t="s">
        <v>396</v>
      </c>
      <c r="B326" s="1">
        <v>45853</v>
      </c>
      <c r="C326" t="s">
        <v>36</v>
      </c>
      <c r="D326" t="s">
        <v>50</v>
      </c>
      <c r="E326" t="s">
        <v>51</v>
      </c>
      <c r="F326" t="s">
        <v>33</v>
      </c>
      <c r="G326" t="s">
        <v>20</v>
      </c>
      <c r="H326" t="s">
        <v>77</v>
      </c>
      <c r="I326" t="s">
        <v>88</v>
      </c>
      <c r="J326">
        <v>2</v>
      </c>
      <c r="K326">
        <v>53385</v>
      </c>
      <c r="L326">
        <v>10</v>
      </c>
      <c r="M326">
        <v>96093</v>
      </c>
      <c r="N326">
        <v>11890.95</v>
      </c>
      <c r="O326" t="s">
        <v>42</v>
      </c>
    </row>
    <row r="327" spans="1:15" x14ac:dyDescent="0.25">
      <c r="A327" t="s">
        <v>397</v>
      </c>
      <c r="B327" s="1">
        <v>45853</v>
      </c>
      <c r="C327" t="s">
        <v>25</v>
      </c>
      <c r="D327" t="s">
        <v>61</v>
      </c>
      <c r="E327" t="s">
        <v>62</v>
      </c>
      <c r="F327" t="s">
        <v>93</v>
      </c>
      <c r="G327" t="s">
        <v>28</v>
      </c>
      <c r="H327" t="s">
        <v>40</v>
      </c>
      <c r="I327" t="s">
        <v>41</v>
      </c>
      <c r="J327">
        <v>9</v>
      </c>
      <c r="K327">
        <v>51623</v>
      </c>
      <c r="L327">
        <v>0</v>
      </c>
      <c r="M327">
        <v>464607</v>
      </c>
      <c r="N327">
        <v>89773.28</v>
      </c>
      <c r="O327" t="s">
        <v>34</v>
      </c>
    </row>
    <row r="328" spans="1:15" x14ac:dyDescent="0.25">
      <c r="A328" t="s">
        <v>398</v>
      </c>
      <c r="B328" s="1">
        <v>45957</v>
      </c>
      <c r="C328" t="s">
        <v>65</v>
      </c>
      <c r="D328" t="s">
        <v>66</v>
      </c>
      <c r="E328" t="s">
        <v>67</v>
      </c>
      <c r="F328" t="s">
        <v>47</v>
      </c>
      <c r="G328" t="s">
        <v>20</v>
      </c>
      <c r="H328" t="s">
        <v>68</v>
      </c>
      <c r="I328" t="s">
        <v>69</v>
      </c>
      <c r="J328">
        <v>7</v>
      </c>
      <c r="K328">
        <v>53552</v>
      </c>
      <c r="L328">
        <v>5</v>
      </c>
      <c r="M328">
        <v>356120.8</v>
      </c>
      <c r="N328">
        <v>45191.38</v>
      </c>
      <c r="O328" t="s">
        <v>42</v>
      </c>
    </row>
    <row r="329" spans="1:15" x14ac:dyDescent="0.25">
      <c r="A329" t="s">
        <v>399</v>
      </c>
      <c r="B329" s="1">
        <v>45847</v>
      </c>
      <c r="C329" t="s">
        <v>25</v>
      </c>
      <c r="D329" t="s">
        <v>26</v>
      </c>
      <c r="E329" t="s">
        <v>27</v>
      </c>
      <c r="F329" t="s">
        <v>39</v>
      </c>
      <c r="G329" t="s">
        <v>20</v>
      </c>
      <c r="H329" t="s">
        <v>21</v>
      </c>
      <c r="I329" t="s">
        <v>22</v>
      </c>
      <c r="J329">
        <v>9</v>
      </c>
      <c r="K329">
        <v>15747</v>
      </c>
      <c r="L329">
        <v>20</v>
      </c>
      <c r="M329">
        <v>113378.4</v>
      </c>
      <c r="N329">
        <v>18558.21</v>
      </c>
      <c r="O329" t="s">
        <v>34</v>
      </c>
    </row>
    <row r="330" spans="1:15" x14ac:dyDescent="0.25">
      <c r="A330" t="s">
        <v>400</v>
      </c>
      <c r="B330" s="1">
        <v>45737</v>
      </c>
      <c r="C330" t="s">
        <v>25</v>
      </c>
      <c r="D330" t="s">
        <v>26</v>
      </c>
      <c r="E330" t="s">
        <v>27</v>
      </c>
      <c r="F330" t="s">
        <v>72</v>
      </c>
      <c r="G330" t="s">
        <v>20</v>
      </c>
      <c r="H330" t="s">
        <v>29</v>
      </c>
      <c r="I330" t="s">
        <v>48</v>
      </c>
      <c r="J330">
        <v>10</v>
      </c>
      <c r="K330">
        <v>78074</v>
      </c>
      <c r="L330">
        <v>0</v>
      </c>
      <c r="M330">
        <v>780740</v>
      </c>
      <c r="N330">
        <v>155277.5</v>
      </c>
      <c r="O330" t="s">
        <v>34</v>
      </c>
    </row>
    <row r="331" spans="1:15" x14ac:dyDescent="0.25">
      <c r="A331" t="s">
        <v>401</v>
      </c>
      <c r="B331" s="1">
        <v>45736</v>
      </c>
      <c r="C331" t="s">
        <v>36</v>
      </c>
      <c r="D331" t="s">
        <v>50</v>
      </c>
      <c r="E331" t="s">
        <v>51</v>
      </c>
      <c r="F331" t="s">
        <v>72</v>
      </c>
      <c r="G331" t="s">
        <v>20</v>
      </c>
      <c r="H331" t="s">
        <v>21</v>
      </c>
      <c r="I331" t="s">
        <v>56</v>
      </c>
      <c r="J331">
        <v>7</v>
      </c>
      <c r="K331">
        <v>54870</v>
      </c>
      <c r="L331">
        <v>0</v>
      </c>
      <c r="M331">
        <v>384090</v>
      </c>
      <c r="N331">
        <v>37185.56</v>
      </c>
      <c r="O331" t="s">
        <v>23</v>
      </c>
    </row>
    <row r="332" spans="1:15" x14ac:dyDescent="0.25">
      <c r="A332" t="s">
        <v>402</v>
      </c>
      <c r="B332" s="1">
        <v>45851</v>
      </c>
      <c r="C332" t="s">
        <v>16</v>
      </c>
      <c r="D332" t="s">
        <v>106</v>
      </c>
      <c r="E332" t="s">
        <v>107</v>
      </c>
      <c r="F332" t="s">
        <v>19</v>
      </c>
      <c r="G332" t="s">
        <v>28</v>
      </c>
      <c r="H332" t="s">
        <v>40</v>
      </c>
      <c r="I332" t="s">
        <v>80</v>
      </c>
      <c r="J332">
        <v>2</v>
      </c>
      <c r="K332">
        <v>44318</v>
      </c>
      <c r="L332">
        <v>5</v>
      </c>
      <c r="M332">
        <v>84204.2</v>
      </c>
      <c r="N332">
        <v>18322.259999999998</v>
      </c>
      <c r="O332" t="s">
        <v>31</v>
      </c>
    </row>
    <row r="333" spans="1:15" x14ac:dyDescent="0.25">
      <c r="A333" t="s">
        <v>403</v>
      </c>
      <c r="B333" s="1">
        <v>45755</v>
      </c>
      <c r="C333" t="s">
        <v>65</v>
      </c>
      <c r="D333" t="s">
        <v>66</v>
      </c>
      <c r="E333" t="s">
        <v>67</v>
      </c>
      <c r="F333" t="s">
        <v>19</v>
      </c>
      <c r="G333" t="s">
        <v>28</v>
      </c>
      <c r="H333" t="s">
        <v>77</v>
      </c>
      <c r="I333" t="s">
        <v>100</v>
      </c>
      <c r="J333">
        <v>7</v>
      </c>
      <c r="K333">
        <v>31079</v>
      </c>
      <c r="L333">
        <v>15</v>
      </c>
      <c r="M333">
        <v>184920.05</v>
      </c>
      <c r="N333">
        <v>44584.65</v>
      </c>
      <c r="O333" t="s">
        <v>34</v>
      </c>
    </row>
    <row r="334" spans="1:15" x14ac:dyDescent="0.25">
      <c r="A334" t="s">
        <v>404</v>
      </c>
      <c r="B334" s="1">
        <v>45778</v>
      </c>
      <c r="C334" t="s">
        <v>25</v>
      </c>
      <c r="D334" t="s">
        <v>61</v>
      </c>
      <c r="E334" t="s">
        <v>62</v>
      </c>
      <c r="F334" t="s">
        <v>33</v>
      </c>
      <c r="G334" t="s">
        <v>20</v>
      </c>
      <c r="H334" t="s">
        <v>40</v>
      </c>
      <c r="I334" t="s">
        <v>80</v>
      </c>
      <c r="J334">
        <v>10</v>
      </c>
      <c r="K334">
        <v>69977</v>
      </c>
      <c r="L334">
        <v>10</v>
      </c>
      <c r="M334">
        <v>629793</v>
      </c>
      <c r="N334">
        <v>104772.53</v>
      </c>
      <c r="O334" t="s">
        <v>23</v>
      </c>
    </row>
    <row r="335" spans="1:15" x14ac:dyDescent="0.25">
      <c r="A335" t="s">
        <v>405</v>
      </c>
      <c r="B335" s="1">
        <v>45781</v>
      </c>
      <c r="C335" t="s">
        <v>36</v>
      </c>
      <c r="D335" t="s">
        <v>37</v>
      </c>
      <c r="E335" t="s">
        <v>38</v>
      </c>
      <c r="F335" t="s">
        <v>19</v>
      </c>
      <c r="G335" t="s">
        <v>20</v>
      </c>
      <c r="H335" t="s">
        <v>68</v>
      </c>
      <c r="I335" t="s">
        <v>94</v>
      </c>
      <c r="J335">
        <v>7</v>
      </c>
      <c r="K335">
        <v>50926</v>
      </c>
      <c r="L335">
        <v>0</v>
      </c>
      <c r="M335">
        <v>356482</v>
      </c>
      <c r="N335">
        <v>87762.94</v>
      </c>
      <c r="O335" t="s">
        <v>31</v>
      </c>
    </row>
    <row r="336" spans="1:15" x14ac:dyDescent="0.25">
      <c r="A336" t="s">
        <v>406</v>
      </c>
      <c r="B336" s="1">
        <v>45887</v>
      </c>
      <c r="C336" t="s">
        <v>36</v>
      </c>
      <c r="D336" t="s">
        <v>37</v>
      </c>
      <c r="E336" t="s">
        <v>38</v>
      </c>
      <c r="F336" t="s">
        <v>47</v>
      </c>
      <c r="G336" t="s">
        <v>28</v>
      </c>
      <c r="H336" t="s">
        <v>77</v>
      </c>
      <c r="I336" t="s">
        <v>100</v>
      </c>
      <c r="J336">
        <v>9</v>
      </c>
      <c r="K336">
        <v>11186</v>
      </c>
      <c r="L336">
        <v>10</v>
      </c>
      <c r="M336">
        <v>90606.6</v>
      </c>
      <c r="N336">
        <v>21943.77</v>
      </c>
      <c r="O336" t="s">
        <v>42</v>
      </c>
    </row>
    <row r="337" spans="1:15" x14ac:dyDescent="0.25">
      <c r="A337" t="s">
        <v>407</v>
      </c>
      <c r="B337" s="1">
        <v>45681</v>
      </c>
      <c r="C337" t="s">
        <v>16</v>
      </c>
      <c r="D337" t="s">
        <v>44</v>
      </c>
      <c r="E337" t="s">
        <v>44</v>
      </c>
      <c r="F337" t="s">
        <v>63</v>
      </c>
      <c r="G337" t="s">
        <v>28</v>
      </c>
      <c r="H337" t="s">
        <v>68</v>
      </c>
      <c r="I337" t="s">
        <v>94</v>
      </c>
      <c r="J337">
        <v>6</v>
      </c>
      <c r="K337">
        <v>78712</v>
      </c>
      <c r="L337">
        <v>20</v>
      </c>
      <c r="M337">
        <v>377817.59999999998</v>
      </c>
      <c r="N337">
        <v>43892.77</v>
      </c>
      <c r="O337" t="s">
        <v>42</v>
      </c>
    </row>
    <row r="338" spans="1:15" x14ac:dyDescent="0.25">
      <c r="A338" t="s">
        <v>408</v>
      </c>
      <c r="B338" s="1">
        <v>45797</v>
      </c>
      <c r="C338" t="s">
        <v>65</v>
      </c>
      <c r="D338" t="s">
        <v>82</v>
      </c>
      <c r="E338" t="s">
        <v>83</v>
      </c>
      <c r="F338" t="s">
        <v>72</v>
      </c>
      <c r="G338" t="s">
        <v>28</v>
      </c>
      <c r="H338" t="s">
        <v>40</v>
      </c>
      <c r="I338" t="s">
        <v>80</v>
      </c>
      <c r="J338">
        <v>1</v>
      </c>
      <c r="K338">
        <v>6866</v>
      </c>
      <c r="L338">
        <v>20</v>
      </c>
      <c r="M338">
        <v>5492.8</v>
      </c>
      <c r="N338">
        <v>450.28</v>
      </c>
      <c r="O338" t="s">
        <v>42</v>
      </c>
    </row>
    <row r="339" spans="1:15" x14ac:dyDescent="0.25">
      <c r="A339" t="s">
        <v>409</v>
      </c>
      <c r="B339" s="1">
        <v>45826</v>
      </c>
      <c r="C339" t="s">
        <v>36</v>
      </c>
      <c r="D339" t="s">
        <v>50</v>
      </c>
      <c r="E339" t="s">
        <v>51</v>
      </c>
      <c r="F339" t="s">
        <v>72</v>
      </c>
      <c r="G339" t="s">
        <v>20</v>
      </c>
      <c r="H339" t="s">
        <v>77</v>
      </c>
      <c r="I339" t="s">
        <v>100</v>
      </c>
      <c r="J339">
        <v>4</v>
      </c>
      <c r="K339">
        <v>2627</v>
      </c>
      <c r="L339">
        <v>15</v>
      </c>
      <c r="M339">
        <v>8931.7999999999993</v>
      </c>
      <c r="N339">
        <v>1788.17</v>
      </c>
      <c r="O339" t="s">
        <v>42</v>
      </c>
    </row>
    <row r="340" spans="1:15" x14ac:dyDescent="0.25">
      <c r="A340" t="s">
        <v>410</v>
      </c>
      <c r="B340" s="1">
        <v>45982</v>
      </c>
      <c r="C340" t="s">
        <v>65</v>
      </c>
      <c r="D340" t="s">
        <v>66</v>
      </c>
      <c r="E340" t="s">
        <v>67</v>
      </c>
      <c r="F340" t="s">
        <v>19</v>
      </c>
      <c r="G340" t="s">
        <v>28</v>
      </c>
      <c r="H340" t="s">
        <v>29</v>
      </c>
      <c r="I340" t="s">
        <v>53</v>
      </c>
      <c r="J340">
        <v>6</v>
      </c>
      <c r="K340">
        <v>20615</v>
      </c>
      <c r="L340">
        <v>10</v>
      </c>
      <c r="M340">
        <v>111321</v>
      </c>
      <c r="N340">
        <v>21801.72</v>
      </c>
      <c r="O340" t="s">
        <v>34</v>
      </c>
    </row>
    <row r="341" spans="1:15" x14ac:dyDescent="0.25">
      <c r="A341" t="s">
        <v>411</v>
      </c>
      <c r="B341" s="1">
        <v>45929</v>
      </c>
      <c r="C341" t="s">
        <v>25</v>
      </c>
      <c r="D341" t="s">
        <v>26</v>
      </c>
      <c r="E341" t="s">
        <v>27</v>
      </c>
      <c r="F341" t="s">
        <v>33</v>
      </c>
      <c r="G341" t="s">
        <v>28</v>
      </c>
      <c r="H341" t="s">
        <v>29</v>
      </c>
      <c r="I341" t="s">
        <v>30</v>
      </c>
      <c r="J341">
        <v>8</v>
      </c>
      <c r="K341">
        <v>19815</v>
      </c>
      <c r="L341">
        <v>5</v>
      </c>
      <c r="M341">
        <v>150594</v>
      </c>
      <c r="N341">
        <v>32601.71</v>
      </c>
      <c r="O341" t="s">
        <v>34</v>
      </c>
    </row>
    <row r="342" spans="1:15" x14ac:dyDescent="0.25">
      <c r="A342" t="s">
        <v>412</v>
      </c>
      <c r="B342" s="1">
        <v>45843</v>
      </c>
      <c r="C342" t="s">
        <v>36</v>
      </c>
      <c r="D342" t="s">
        <v>85</v>
      </c>
      <c r="E342" t="s">
        <v>86</v>
      </c>
      <c r="F342" t="s">
        <v>39</v>
      </c>
      <c r="G342" t="s">
        <v>20</v>
      </c>
      <c r="H342" t="s">
        <v>21</v>
      </c>
      <c r="I342" t="s">
        <v>45</v>
      </c>
      <c r="J342">
        <v>8</v>
      </c>
      <c r="K342">
        <v>61621</v>
      </c>
      <c r="L342">
        <v>5</v>
      </c>
      <c r="M342">
        <v>468319.6</v>
      </c>
      <c r="N342">
        <v>54943.839999999997</v>
      </c>
      <c r="O342" t="s">
        <v>31</v>
      </c>
    </row>
    <row r="343" spans="1:15" x14ac:dyDescent="0.25">
      <c r="A343" t="s">
        <v>413</v>
      </c>
      <c r="B343" s="1">
        <v>45709</v>
      </c>
      <c r="C343" t="s">
        <v>65</v>
      </c>
      <c r="D343" t="s">
        <v>66</v>
      </c>
      <c r="E343" t="s">
        <v>67</v>
      </c>
      <c r="F343" t="s">
        <v>47</v>
      </c>
      <c r="G343" t="s">
        <v>20</v>
      </c>
      <c r="H343" t="s">
        <v>40</v>
      </c>
      <c r="I343" t="s">
        <v>41</v>
      </c>
      <c r="J343">
        <v>5</v>
      </c>
      <c r="K343">
        <v>68765</v>
      </c>
      <c r="L343">
        <v>0</v>
      </c>
      <c r="M343">
        <v>343825</v>
      </c>
      <c r="N343">
        <v>75824.42</v>
      </c>
      <c r="O343" t="s">
        <v>31</v>
      </c>
    </row>
    <row r="344" spans="1:15" x14ac:dyDescent="0.25">
      <c r="A344" t="s">
        <v>414</v>
      </c>
      <c r="B344" s="1">
        <v>45749</v>
      </c>
      <c r="C344" t="s">
        <v>36</v>
      </c>
      <c r="D344" t="s">
        <v>50</v>
      </c>
      <c r="E344" t="s">
        <v>51</v>
      </c>
      <c r="F344" t="s">
        <v>47</v>
      </c>
      <c r="G344" t="s">
        <v>20</v>
      </c>
      <c r="H344" t="s">
        <v>68</v>
      </c>
      <c r="I344" t="s">
        <v>94</v>
      </c>
      <c r="J344">
        <v>7</v>
      </c>
      <c r="K344">
        <v>20796</v>
      </c>
      <c r="L344">
        <v>20</v>
      </c>
      <c r="M344">
        <v>116457.60000000001</v>
      </c>
      <c r="N344">
        <v>9320.9599999999991</v>
      </c>
      <c r="O344" t="s">
        <v>42</v>
      </c>
    </row>
    <row r="345" spans="1:15" x14ac:dyDescent="0.25">
      <c r="A345" t="s">
        <v>415</v>
      </c>
      <c r="B345" s="1">
        <v>45709</v>
      </c>
      <c r="C345" t="s">
        <v>16</v>
      </c>
      <c r="D345" t="s">
        <v>106</v>
      </c>
      <c r="E345" t="s">
        <v>107</v>
      </c>
      <c r="F345" t="s">
        <v>52</v>
      </c>
      <c r="G345" t="s">
        <v>20</v>
      </c>
      <c r="H345" t="s">
        <v>21</v>
      </c>
      <c r="I345" t="s">
        <v>22</v>
      </c>
      <c r="J345">
        <v>10</v>
      </c>
      <c r="K345">
        <v>29113</v>
      </c>
      <c r="L345">
        <v>10</v>
      </c>
      <c r="M345">
        <v>262017</v>
      </c>
      <c r="N345">
        <v>25656.53</v>
      </c>
      <c r="O345" t="s">
        <v>31</v>
      </c>
    </row>
    <row r="346" spans="1:15" x14ac:dyDescent="0.25">
      <c r="A346" t="s">
        <v>416</v>
      </c>
      <c r="B346" s="1">
        <v>45784</v>
      </c>
      <c r="C346" t="s">
        <v>36</v>
      </c>
      <c r="D346" t="s">
        <v>85</v>
      </c>
      <c r="E346" t="s">
        <v>86</v>
      </c>
      <c r="F346" t="s">
        <v>72</v>
      </c>
      <c r="G346" t="s">
        <v>28</v>
      </c>
      <c r="H346" t="s">
        <v>21</v>
      </c>
      <c r="I346" t="s">
        <v>56</v>
      </c>
      <c r="J346">
        <v>4</v>
      </c>
      <c r="K346">
        <v>24860</v>
      </c>
      <c r="L346">
        <v>5</v>
      </c>
      <c r="M346">
        <v>94468</v>
      </c>
      <c r="N346">
        <v>17441.740000000002</v>
      </c>
      <c r="O346" t="s">
        <v>42</v>
      </c>
    </row>
    <row r="347" spans="1:15" x14ac:dyDescent="0.25">
      <c r="A347" t="s">
        <v>417</v>
      </c>
      <c r="B347" s="1">
        <v>45989</v>
      </c>
      <c r="C347" t="s">
        <v>16</v>
      </c>
      <c r="D347" t="s">
        <v>106</v>
      </c>
      <c r="E347" t="s">
        <v>107</v>
      </c>
      <c r="F347" t="s">
        <v>72</v>
      </c>
      <c r="G347" t="s">
        <v>28</v>
      </c>
      <c r="H347" t="s">
        <v>68</v>
      </c>
      <c r="I347" t="s">
        <v>90</v>
      </c>
      <c r="J347">
        <v>10</v>
      </c>
      <c r="K347">
        <v>60975</v>
      </c>
      <c r="L347">
        <v>15</v>
      </c>
      <c r="M347">
        <v>518287.5</v>
      </c>
      <c r="N347">
        <v>47245.84</v>
      </c>
      <c r="O347" t="s">
        <v>23</v>
      </c>
    </row>
    <row r="348" spans="1:15" x14ac:dyDescent="0.25">
      <c r="A348" t="s">
        <v>418</v>
      </c>
      <c r="B348" s="1">
        <v>45934</v>
      </c>
      <c r="C348" t="s">
        <v>65</v>
      </c>
      <c r="D348" t="s">
        <v>82</v>
      </c>
      <c r="E348" t="s">
        <v>83</v>
      </c>
      <c r="F348" t="s">
        <v>33</v>
      </c>
      <c r="G348" t="s">
        <v>28</v>
      </c>
      <c r="H348" t="s">
        <v>77</v>
      </c>
      <c r="I348" t="s">
        <v>78</v>
      </c>
      <c r="J348">
        <v>3</v>
      </c>
      <c r="K348">
        <v>34390</v>
      </c>
      <c r="L348">
        <v>0</v>
      </c>
      <c r="M348">
        <v>103170</v>
      </c>
      <c r="N348">
        <v>16628.47</v>
      </c>
      <c r="O348" t="s">
        <v>31</v>
      </c>
    </row>
    <row r="349" spans="1:15" x14ac:dyDescent="0.25">
      <c r="A349" t="s">
        <v>419</v>
      </c>
      <c r="B349" s="1">
        <v>45883</v>
      </c>
      <c r="C349" t="s">
        <v>65</v>
      </c>
      <c r="D349" t="s">
        <v>66</v>
      </c>
      <c r="E349" t="s">
        <v>67</v>
      </c>
      <c r="F349" t="s">
        <v>19</v>
      </c>
      <c r="G349" t="s">
        <v>20</v>
      </c>
      <c r="H349" t="s">
        <v>40</v>
      </c>
      <c r="I349" t="s">
        <v>80</v>
      </c>
      <c r="J349">
        <v>7</v>
      </c>
      <c r="K349">
        <v>46059</v>
      </c>
      <c r="L349">
        <v>0</v>
      </c>
      <c r="M349">
        <v>322413</v>
      </c>
      <c r="N349">
        <v>56699</v>
      </c>
      <c r="O349" t="s">
        <v>34</v>
      </c>
    </row>
    <row r="350" spans="1:15" x14ac:dyDescent="0.25">
      <c r="A350" t="s">
        <v>420</v>
      </c>
      <c r="B350" s="1">
        <v>45924</v>
      </c>
      <c r="C350" t="s">
        <v>36</v>
      </c>
      <c r="D350" t="s">
        <v>50</v>
      </c>
      <c r="E350" t="s">
        <v>51</v>
      </c>
      <c r="F350" t="s">
        <v>39</v>
      </c>
      <c r="G350" t="s">
        <v>20</v>
      </c>
      <c r="H350" t="s">
        <v>40</v>
      </c>
      <c r="I350" t="s">
        <v>59</v>
      </c>
      <c r="J350">
        <v>6</v>
      </c>
      <c r="K350">
        <v>72181</v>
      </c>
      <c r="L350">
        <v>15</v>
      </c>
      <c r="M350">
        <v>368123.1</v>
      </c>
      <c r="N350">
        <v>66640.36</v>
      </c>
      <c r="O350" t="s">
        <v>34</v>
      </c>
    </row>
    <row r="351" spans="1:15" x14ac:dyDescent="0.25">
      <c r="A351" t="s">
        <v>421</v>
      </c>
      <c r="B351" s="1">
        <v>45759</v>
      </c>
      <c r="C351" t="s">
        <v>36</v>
      </c>
      <c r="D351" t="s">
        <v>85</v>
      </c>
      <c r="E351" t="s">
        <v>86</v>
      </c>
      <c r="F351" t="s">
        <v>39</v>
      </c>
      <c r="G351" t="s">
        <v>28</v>
      </c>
      <c r="H351" t="s">
        <v>40</v>
      </c>
      <c r="I351" t="s">
        <v>41</v>
      </c>
      <c r="J351">
        <v>3</v>
      </c>
      <c r="K351">
        <v>72139</v>
      </c>
      <c r="L351">
        <v>20</v>
      </c>
      <c r="M351">
        <v>173133.6</v>
      </c>
      <c r="N351">
        <v>39404.559999999998</v>
      </c>
      <c r="O351" t="s">
        <v>23</v>
      </c>
    </row>
    <row r="352" spans="1:15" x14ac:dyDescent="0.25">
      <c r="A352" t="s">
        <v>422</v>
      </c>
      <c r="B352" s="1">
        <v>45959</v>
      </c>
      <c r="C352" t="s">
        <v>16</v>
      </c>
      <c r="D352" t="s">
        <v>106</v>
      </c>
      <c r="E352" t="s">
        <v>107</v>
      </c>
      <c r="F352" t="s">
        <v>19</v>
      </c>
      <c r="G352" t="s">
        <v>20</v>
      </c>
      <c r="H352" t="s">
        <v>77</v>
      </c>
      <c r="I352" t="s">
        <v>88</v>
      </c>
      <c r="J352">
        <v>3</v>
      </c>
      <c r="K352">
        <v>39679</v>
      </c>
      <c r="L352">
        <v>10</v>
      </c>
      <c r="M352">
        <v>107133.3</v>
      </c>
      <c r="N352">
        <v>24853.07</v>
      </c>
      <c r="O352" t="s">
        <v>42</v>
      </c>
    </row>
    <row r="353" spans="1:15" x14ac:dyDescent="0.25">
      <c r="A353" t="s">
        <v>423</v>
      </c>
      <c r="B353" s="1">
        <v>45971</v>
      </c>
      <c r="C353" t="s">
        <v>36</v>
      </c>
      <c r="D353" t="s">
        <v>37</v>
      </c>
      <c r="E353" t="s">
        <v>38</v>
      </c>
      <c r="F353" t="s">
        <v>39</v>
      </c>
      <c r="G353" t="s">
        <v>28</v>
      </c>
      <c r="H353" t="s">
        <v>29</v>
      </c>
      <c r="I353" t="s">
        <v>30</v>
      </c>
      <c r="J353">
        <v>3</v>
      </c>
      <c r="K353">
        <v>55742</v>
      </c>
      <c r="L353">
        <v>0</v>
      </c>
      <c r="M353">
        <v>167226</v>
      </c>
      <c r="N353">
        <v>29679.34</v>
      </c>
      <c r="O353" t="s">
        <v>31</v>
      </c>
    </row>
    <row r="354" spans="1:15" x14ac:dyDescent="0.25">
      <c r="A354" t="s">
        <v>424</v>
      </c>
      <c r="B354" s="1">
        <v>45928</v>
      </c>
      <c r="C354" t="s">
        <v>65</v>
      </c>
      <c r="D354" t="s">
        <v>82</v>
      </c>
      <c r="E354" t="s">
        <v>83</v>
      </c>
      <c r="F354" t="s">
        <v>39</v>
      </c>
      <c r="G354" t="s">
        <v>20</v>
      </c>
      <c r="H354" t="s">
        <v>77</v>
      </c>
      <c r="I354" t="s">
        <v>100</v>
      </c>
      <c r="J354">
        <v>6</v>
      </c>
      <c r="K354">
        <v>20858</v>
      </c>
      <c r="L354">
        <v>15</v>
      </c>
      <c r="M354">
        <v>106375.8</v>
      </c>
      <c r="N354">
        <v>11496.7</v>
      </c>
      <c r="O354" t="s">
        <v>34</v>
      </c>
    </row>
    <row r="355" spans="1:15" x14ac:dyDescent="0.25">
      <c r="A355" t="s">
        <v>425</v>
      </c>
      <c r="B355" s="1">
        <v>45760</v>
      </c>
      <c r="C355" t="s">
        <v>65</v>
      </c>
      <c r="D355" t="s">
        <v>66</v>
      </c>
      <c r="E355" t="s">
        <v>67</v>
      </c>
      <c r="F355" t="s">
        <v>93</v>
      </c>
      <c r="G355" t="s">
        <v>28</v>
      </c>
      <c r="H355" t="s">
        <v>21</v>
      </c>
      <c r="I355" t="s">
        <v>45</v>
      </c>
      <c r="J355">
        <v>9</v>
      </c>
      <c r="K355">
        <v>75279</v>
      </c>
      <c r="L355">
        <v>20</v>
      </c>
      <c r="M355">
        <v>542008.80000000005</v>
      </c>
      <c r="N355">
        <v>87849.79</v>
      </c>
      <c r="O355" t="s">
        <v>34</v>
      </c>
    </row>
    <row r="356" spans="1:15" x14ac:dyDescent="0.25">
      <c r="A356" t="s">
        <v>426</v>
      </c>
      <c r="B356" s="1">
        <v>45693</v>
      </c>
      <c r="C356" t="s">
        <v>36</v>
      </c>
      <c r="D356" t="s">
        <v>37</v>
      </c>
      <c r="E356" t="s">
        <v>38</v>
      </c>
      <c r="F356" t="s">
        <v>47</v>
      </c>
      <c r="G356" t="s">
        <v>28</v>
      </c>
      <c r="H356" t="s">
        <v>77</v>
      </c>
      <c r="I356" t="s">
        <v>88</v>
      </c>
      <c r="J356">
        <v>10</v>
      </c>
      <c r="K356">
        <v>44025</v>
      </c>
      <c r="L356">
        <v>5</v>
      </c>
      <c r="M356">
        <v>418237.5</v>
      </c>
      <c r="N356">
        <v>81585.16</v>
      </c>
      <c r="O356" t="s">
        <v>42</v>
      </c>
    </row>
    <row r="357" spans="1:15" x14ac:dyDescent="0.25">
      <c r="A357" t="s">
        <v>427</v>
      </c>
      <c r="B357" s="1">
        <v>45938</v>
      </c>
      <c r="C357" t="s">
        <v>25</v>
      </c>
      <c r="D357" t="s">
        <v>61</v>
      </c>
      <c r="E357" t="s">
        <v>62</v>
      </c>
      <c r="F357" t="s">
        <v>47</v>
      </c>
      <c r="G357" t="s">
        <v>28</v>
      </c>
      <c r="H357" t="s">
        <v>29</v>
      </c>
      <c r="I357" t="s">
        <v>30</v>
      </c>
      <c r="J357">
        <v>2</v>
      </c>
      <c r="K357">
        <v>4379</v>
      </c>
      <c r="L357">
        <v>5</v>
      </c>
      <c r="M357">
        <v>8320.1</v>
      </c>
      <c r="N357">
        <v>1807.82</v>
      </c>
      <c r="O357" t="s">
        <v>23</v>
      </c>
    </row>
    <row r="358" spans="1:15" x14ac:dyDescent="0.25">
      <c r="A358" t="s">
        <v>428</v>
      </c>
      <c r="B358" s="1">
        <v>45809</v>
      </c>
      <c r="C358" t="s">
        <v>36</v>
      </c>
      <c r="D358" t="s">
        <v>85</v>
      </c>
      <c r="E358" t="s">
        <v>86</v>
      </c>
      <c r="F358" t="s">
        <v>47</v>
      </c>
      <c r="G358" t="s">
        <v>20</v>
      </c>
      <c r="H358" t="s">
        <v>68</v>
      </c>
      <c r="I358" t="s">
        <v>94</v>
      </c>
      <c r="J358">
        <v>5</v>
      </c>
      <c r="K358">
        <v>6458</v>
      </c>
      <c r="L358">
        <v>15</v>
      </c>
      <c r="M358">
        <v>27446.5</v>
      </c>
      <c r="N358">
        <v>4425.45</v>
      </c>
      <c r="O358" t="s">
        <v>31</v>
      </c>
    </row>
    <row r="359" spans="1:15" x14ac:dyDescent="0.25">
      <c r="A359" t="s">
        <v>429</v>
      </c>
      <c r="B359" s="1">
        <v>45841</v>
      </c>
      <c r="C359" t="s">
        <v>16</v>
      </c>
      <c r="D359" t="s">
        <v>106</v>
      </c>
      <c r="E359" t="s">
        <v>107</v>
      </c>
      <c r="F359" t="s">
        <v>52</v>
      </c>
      <c r="G359" t="s">
        <v>20</v>
      </c>
      <c r="H359" t="s">
        <v>21</v>
      </c>
      <c r="I359" t="s">
        <v>45</v>
      </c>
      <c r="J359">
        <v>6</v>
      </c>
      <c r="K359">
        <v>12741</v>
      </c>
      <c r="L359">
        <v>5</v>
      </c>
      <c r="M359">
        <v>72623.7</v>
      </c>
      <c r="N359">
        <v>17985.689999999999</v>
      </c>
      <c r="O359" t="s">
        <v>42</v>
      </c>
    </row>
    <row r="360" spans="1:15" x14ac:dyDescent="0.25">
      <c r="A360" t="s">
        <v>430</v>
      </c>
      <c r="B360" s="1">
        <v>45800</v>
      </c>
      <c r="C360" t="s">
        <v>25</v>
      </c>
      <c r="D360" t="s">
        <v>61</v>
      </c>
      <c r="E360" t="s">
        <v>62</v>
      </c>
      <c r="F360" t="s">
        <v>33</v>
      </c>
      <c r="G360" t="s">
        <v>28</v>
      </c>
      <c r="H360" t="s">
        <v>40</v>
      </c>
      <c r="I360" t="s">
        <v>80</v>
      </c>
      <c r="J360">
        <v>8</v>
      </c>
      <c r="K360">
        <v>40654</v>
      </c>
      <c r="L360">
        <v>0</v>
      </c>
      <c r="M360">
        <v>325232</v>
      </c>
      <c r="N360">
        <v>70233.14</v>
      </c>
      <c r="O360" t="s">
        <v>23</v>
      </c>
    </row>
    <row r="361" spans="1:15" x14ac:dyDescent="0.25">
      <c r="A361" t="s">
        <v>431</v>
      </c>
      <c r="B361" s="1">
        <v>45917</v>
      </c>
      <c r="C361" t="s">
        <v>25</v>
      </c>
      <c r="D361" t="s">
        <v>61</v>
      </c>
      <c r="E361" t="s">
        <v>62</v>
      </c>
      <c r="F361" t="s">
        <v>33</v>
      </c>
      <c r="G361" t="s">
        <v>20</v>
      </c>
      <c r="H361" t="s">
        <v>29</v>
      </c>
      <c r="I361" t="s">
        <v>30</v>
      </c>
      <c r="J361">
        <v>10</v>
      </c>
      <c r="K361">
        <v>17266</v>
      </c>
      <c r="L361">
        <v>15</v>
      </c>
      <c r="M361">
        <v>146761</v>
      </c>
      <c r="N361">
        <v>34636.050000000003</v>
      </c>
      <c r="O361" t="s">
        <v>23</v>
      </c>
    </row>
    <row r="362" spans="1:15" x14ac:dyDescent="0.25">
      <c r="A362" t="s">
        <v>432</v>
      </c>
      <c r="B362" s="1">
        <v>45793</v>
      </c>
      <c r="C362" t="s">
        <v>36</v>
      </c>
      <c r="D362" t="s">
        <v>37</v>
      </c>
      <c r="E362" t="s">
        <v>38</v>
      </c>
      <c r="F362" t="s">
        <v>19</v>
      </c>
      <c r="G362" t="s">
        <v>20</v>
      </c>
      <c r="H362" t="s">
        <v>68</v>
      </c>
      <c r="I362" t="s">
        <v>90</v>
      </c>
      <c r="J362">
        <v>10</v>
      </c>
      <c r="K362">
        <v>38996</v>
      </c>
      <c r="L362">
        <v>15</v>
      </c>
      <c r="M362">
        <v>331466</v>
      </c>
      <c r="N362">
        <v>36310.550000000003</v>
      </c>
      <c r="O362" t="s">
        <v>34</v>
      </c>
    </row>
    <row r="363" spans="1:15" x14ac:dyDescent="0.25">
      <c r="A363" t="s">
        <v>433</v>
      </c>
      <c r="B363" s="1">
        <v>45979</v>
      </c>
      <c r="C363" t="s">
        <v>36</v>
      </c>
      <c r="D363" t="s">
        <v>50</v>
      </c>
      <c r="E363" t="s">
        <v>51</v>
      </c>
      <c r="F363" t="s">
        <v>19</v>
      </c>
      <c r="G363" t="s">
        <v>20</v>
      </c>
      <c r="H363" t="s">
        <v>68</v>
      </c>
      <c r="I363" t="s">
        <v>94</v>
      </c>
      <c r="J363">
        <v>10</v>
      </c>
      <c r="K363">
        <v>41404</v>
      </c>
      <c r="L363">
        <v>15</v>
      </c>
      <c r="M363">
        <v>351934</v>
      </c>
      <c r="N363">
        <v>85430.080000000002</v>
      </c>
      <c r="O363" t="s">
        <v>42</v>
      </c>
    </row>
    <row r="364" spans="1:15" x14ac:dyDescent="0.25">
      <c r="A364" t="s">
        <v>434</v>
      </c>
      <c r="B364" s="1">
        <v>45715</v>
      </c>
      <c r="C364" t="s">
        <v>36</v>
      </c>
      <c r="D364" t="s">
        <v>85</v>
      </c>
      <c r="E364" t="s">
        <v>86</v>
      </c>
      <c r="F364" t="s">
        <v>72</v>
      </c>
      <c r="G364" t="s">
        <v>28</v>
      </c>
      <c r="H364" t="s">
        <v>77</v>
      </c>
      <c r="I364" t="s">
        <v>88</v>
      </c>
      <c r="J364">
        <v>7</v>
      </c>
      <c r="K364">
        <v>54129</v>
      </c>
      <c r="L364">
        <v>15</v>
      </c>
      <c r="M364">
        <v>322067.55</v>
      </c>
      <c r="N364">
        <v>47396.55</v>
      </c>
      <c r="O364" t="s">
        <v>34</v>
      </c>
    </row>
    <row r="365" spans="1:15" x14ac:dyDescent="0.25">
      <c r="A365" t="s">
        <v>435</v>
      </c>
      <c r="B365" s="1">
        <v>45927</v>
      </c>
      <c r="C365" t="s">
        <v>16</v>
      </c>
      <c r="D365" t="s">
        <v>106</v>
      </c>
      <c r="E365" t="s">
        <v>107</v>
      </c>
      <c r="F365" t="s">
        <v>39</v>
      </c>
      <c r="G365" t="s">
        <v>28</v>
      </c>
      <c r="H365" t="s">
        <v>21</v>
      </c>
      <c r="I365" t="s">
        <v>56</v>
      </c>
      <c r="J365">
        <v>5</v>
      </c>
      <c r="K365">
        <v>27461</v>
      </c>
      <c r="L365">
        <v>0</v>
      </c>
      <c r="M365">
        <v>137305</v>
      </c>
      <c r="N365">
        <v>29668.5</v>
      </c>
      <c r="O365" t="s">
        <v>34</v>
      </c>
    </row>
    <row r="366" spans="1:15" x14ac:dyDescent="0.25">
      <c r="A366" t="s">
        <v>436</v>
      </c>
      <c r="B366" s="1">
        <v>45935</v>
      </c>
      <c r="C366" t="s">
        <v>25</v>
      </c>
      <c r="D366" t="s">
        <v>26</v>
      </c>
      <c r="E366" t="s">
        <v>27</v>
      </c>
      <c r="F366" t="s">
        <v>33</v>
      </c>
      <c r="G366" t="s">
        <v>28</v>
      </c>
      <c r="H366" t="s">
        <v>29</v>
      </c>
      <c r="I366" t="s">
        <v>53</v>
      </c>
      <c r="J366">
        <v>4</v>
      </c>
      <c r="K366">
        <v>8183</v>
      </c>
      <c r="L366">
        <v>0</v>
      </c>
      <c r="M366">
        <v>32732</v>
      </c>
      <c r="N366">
        <v>3806.78</v>
      </c>
      <c r="O366" t="s">
        <v>31</v>
      </c>
    </row>
    <row r="367" spans="1:15" x14ac:dyDescent="0.25">
      <c r="A367" t="s">
        <v>437</v>
      </c>
      <c r="B367" s="1">
        <v>45989</v>
      </c>
      <c r="C367" t="s">
        <v>65</v>
      </c>
      <c r="D367" t="s">
        <v>82</v>
      </c>
      <c r="E367" t="s">
        <v>83</v>
      </c>
      <c r="F367" t="s">
        <v>19</v>
      </c>
      <c r="G367" t="s">
        <v>20</v>
      </c>
      <c r="H367" t="s">
        <v>29</v>
      </c>
      <c r="I367" t="s">
        <v>48</v>
      </c>
      <c r="J367">
        <v>9</v>
      </c>
      <c r="K367">
        <v>19043</v>
      </c>
      <c r="L367">
        <v>20</v>
      </c>
      <c r="M367">
        <v>137109.6</v>
      </c>
      <c r="N367">
        <v>18409.18</v>
      </c>
      <c r="O367" t="s">
        <v>34</v>
      </c>
    </row>
    <row r="368" spans="1:15" x14ac:dyDescent="0.25">
      <c r="A368" t="s">
        <v>438</v>
      </c>
      <c r="B368" s="1">
        <v>45850</v>
      </c>
      <c r="C368" t="s">
        <v>25</v>
      </c>
      <c r="D368" t="s">
        <v>61</v>
      </c>
      <c r="E368" t="s">
        <v>62</v>
      </c>
      <c r="F368" t="s">
        <v>72</v>
      </c>
      <c r="G368" t="s">
        <v>20</v>
      </c>
      <c r="H368" t="s">
        <v>77</v>
      </c>
      <c r="I368" t="s">
        <v>88</v>
      </c>
      <c r="J368">
        <v>10</v>
      </c>
      <c r="K368">
        <v>5363</v>
      </c>
      <c r="L368">
        <v>15</v>
      </c>
      <c r="M368">
        <v>45585.5</v>
      </c>
      <c r="N368">
        <v>3872.78</v>
      </c>
      <c r="O368" t="s">
        <v>31</v>
      </c>
    </row>
    <row r="369" spans="1:15" x14ac:dyDescent="0.25">
      <c r="A369" t="s">
        <v>439</v>
      </c>
      <c r="B369" s="1">
        <v>45969</v>
      </c>
      <c r="C369" t="s">
        <v>25</v>
      </c>
      <c r="D369" t="s">
        <v>26</v>
      </c>
      <c r="E369" t="s">
        <v>27</v>
      </c>
      <c r="F369" t="s">
        <v>47</v>
      </c>
      <c r="G369" t="s">
        <v>20</v>
      </c>
      <c r="H369" t="s">
        <v>40</v>
      </c>
      <c r="I369" t="s">
        <v>59</v>
      </c>
      <c r="J369">
        <v>8</v>
      </c>
      <c r="K369">
        <v>3226</v>
      </c>
      <c r="L369">
        <v>20</v>
      </c>
      <c r="M369">
        <v>20646.400000000001</v>
      </c>
      <c r="N369">
        <v>2826.64</v>
      </c>
      <c r="O369" t="s">
        <v>42</v>
      </c>
    </row>
    <row r="370" spans="1:15" x14ac:dyDescent="0.25">
      <c r="A370" t="s">
        <v>440</v>
      </c>
      <c r="B370" s="1">
        <v>45773</v>
      </c>
      <c r="C370" t="s">
        <v>36</v>
      </c>
      <c r="D370" t="s">
        <v>37</v>
      </c>
      <c r="E370" t="s">
        <v>38</v>
      </c>
      <c r="F370" t="s">
        <v>39</v>
      </c>
      <c r="G370" t="s">
        <v>28</v>
      </c>
      <c r="H370" t="s">
        <v>21</v>
      </c>
      <c r="I370" t="s">
        <v>45</v>
      </c>
      <c r="J370">
        <v>7</v>
      </c>
      <c r="K370">
        <v>68739</v>
      </c>
      <c r="L370">
        <v>5</v>
      </c>
      <c r="M370">
        <v>457114.35</v>
      </c>
      <c r="N370">
        <v>83065.62</v>
      </c>
      <c r="O370" t="s">
        <v>34</v>
      </c>
    </row>
    <row r="371" spans="1:15" x14ac:dyDescent="0.25">
      <c r="A371" t="s">
        <v>441</v>
      </c>
      <c r="B371" s="1">
        <v>45735</v>
      </c>
      <c r="C371" t="s">
        <v>65</v>
      </c>
      <c r="D371" t="s">
        <v>66</v>
      </c>
      <c r="E371" t="s">
        <v>67</v>
      </c>
      <c r="F371" t="s">
        <v>93</v>
      </c>
      <c r="G371" t="s">
        <v>20</v>
      </c>
      <c r="H371" t="s">
        <v>40</v>
      </c>
      <c r="I371" t="s">
        <v>59</v>
      </c>
      <c r="J371">
        <v>9</v>
      </c>
      <c r="K371">
        <v>79349</v>
      </c>
      <c r="L371">
        <v>0</v>
      </c>
      <c r="M371">
        <v>714141</v>
      </c>
      <c r="N371">
        <v>154635.89000000001</v>
      </c>
      <c r="O371" t="s">
        <v>34</v>
      </c>
    </row>
    <row r="372" spans="1:15" x14ac:dyDescent="0.25">
      <c r="A372" t="s">
        <v>442</v>
      </c>
      <c r="B372" s="1">
        <v>45720</v>
      </c>
      <c r="C372" t="s">
        <v>36</v>
      </c>
      <c r="D372" t="s">
        <v>85</v>
      </c>
      <c r="E372" t="s">
        <v>86</v>
      </c>
      <c r="F372" t="s">
        <v>39</v>
      </c>
      <c r="G372" t="s">
        <v>20</v>
      </c>
      <c r="H372" t="s">
        <v>29</v>
      </c>
      <c r="I372" t="s">
        <v>53</v>
      </c>
      <c r="J372">
        <v>3</v>
      </c>
      <c r="K372">
        <v>22117</v>
      </c>
      <c r="L372">
        <v>15</v>
      </c>
      <c r="M372">
        <v>56398.35</v>
      </c>
      <c r="N372">
        <v>10274.48</v>
      </c>
      <c r="O372" t="s">
        <v>31</v>
      </c>
    </row>
    <row r="373" spans="1:15" x14ac:dyDescent="0.25">
      <c r="A373" t="s">
        <v>443</v>
      </c>
      <c r="B373" s="1">
        <v>45831</v>
      </c>
      <c r="C373" t="s">
        <v>16</v>
      </c>
      <c r="D373" t="s">
        <v>17</v>
      </c>
      <c r="E373" t="s">
        <v>18</v>
      </c>
      <c r="F373" t="s">
        <v>47</v>
      </c>
      <c r="G373" t="s">
        <v>20</v>
      </c>
      <c r="H373" t="s">
        <v>68</v>
      </c>
      <c r="I373" t="s">
        <v>94</v>
      </c>
      <c r="J373">
        <v>8</v>
      </c>
      <c r="K373">
        <v>18570</v>
      </c>
      <c r="L373">
        <v>0</v>
      </c>
      <c r="M373">
        <v>148560</v>
      </c>
      <c r="N373">
        <v>28138.03</v>
      </c>
      <c r="O373" t="s">
        <v>23</v>
      </c>
    </row>
    <row r="374" spans="1:15" x14ac:dyDescent="0.25">
      <c r="A374" t="s">
        <v>444</v>
      </c>
      <c r="B374" s="1">
        <v>45907</v>
      </c>
      <c r="C374" t="s">
        <v>16</v>
      </c>
      <c r="D374" t="s">
        <v>106</v>
      </c>
      <c r="E374" t="s">
        <v>107</v>
      </c>
      <c r="F374" t="s">
        <v>33</v>
      </c>
      <c r="G374" t="s">
        <v>28</v>
      </c>
      <c r="H374" t="s">
        <v>21</v>
      </c>
      <c r="I374" t="s">
        <v>22</v>
      </c>
      <c r="J374">
        <v>3</v>
      </c>
      <c r="K374">
        <v>25801</v>
      </c>
      <c r="L374">
        <v>0</v>
      </c>
      <c r="M374">
        <v>77403</v>
      </c>
      <c r="N374">
        <v>8127.92</v>
      </c>
      <c r="O374" t="s">
        <v>23</v>
      </c>
    </row>
    <row r="375" spans="1:15" x14ac:dyDescent="0.25">
      <c r="A375" t="s">
        <v>445</v>
      </c>
      <c r="B375" s="1">
        <v>45757</v>
      </c>
      <c r="C375" t="s">
        <v>65</v>
      </c>
      <c r="D375" t="s">
        <v>66</v>
      </c>
      <c r="E375" t="s">
        <v>67</v>
      </c>
      <c r="F375" t="s">
        <v>47</v>
      </c>
      <c r="G375" t="s">
        <v>20</v>
      </c>
      <c r="H375" t="s">
        <v>77</v>
      </c>
      <c r="I375" t="s">
        <v>78</v>
      </c>
      <c r="J375">
        <v>7</v>
      </c>
      <c r="K375">
        <v>24022</v>
      </c>
      <c r="L375">
        <v>10</v>
      </c>
      <c r="M375">
        <v>151338.6</v>
      </c>
      <c r="N375">
        <v>14221.56</v>
      </c>
      <c r="O375" t="s">
        <v>34</v>
      </c>
    </row>
    <row r="376" spans="1:15" x14ac:dyDescent="0.25">
      <c r="A376" t="s">
        <v>446</v>
      </c>
      <c r="B376" s="1">
        <v>45916</v>
      </c>
      <c r="C376" t="s">
        <v>65</v>
      </c>
      <c r="D376" t="s">
        <v>82</v>
      </c>
      <c r="E376" t="s">
        <v>83</v>
      </c>
      <c r="F376" t="s">
        <v>47</v>
      </c>
      <c r="G376" t="s">
        <v>28</v>
      </c>
      <c r="H376" t="s">
        <v>29</v>
      </c>
      <c r="I376" t="s">
        <v>30</v>
      </c>
      <c r="J376">
        <v>5</v>
      </c>
      <c r="K376">
        <v>48546</v>
      </c>
      <c r="L376">
        <v>20</v>
      </c>
      <c r="M376">
        <v>194184</v>
      </c>
      <c r="N376">
        <v>18989.73</v>
      </c>
      <c r="O376" t="s">
        <v>34</v>
      </c>
    </row>
    <row r="377" spans="1:15" x14ac:dyDescent="0.25">
      <c r="A377" t="s">
        <v>447</v>
      </c>
      <c r="B377" s="1">
        <v>45686</v>
      </c>
      <c r="C377" t="s">
        <v>65</v>
      </c>
      <c r="D377" t="s">
        <v>66</v>
      </c>
      <c r="E377" t="s">
        <v>67</v>
      </c>
      <c r="F377" t="s">
        <v>47</v>
      </c>
      <c r="G377" t="s">
        <v>20</v>
      </c>
      <c r="H377" t="s">
        <v>29</v>
      </c>
      <c r="I377" t="s">
        <v>30</v>
      </c>
      <c r="J377">
        <v>6</v>
      </c>
      <c r="K377">
        <v>34722</v>
      </c>
      <c r="L377">
        <v>20</v>
      </c>
      <c r="M377">
        <v>166665.60000000001</v>
      </c>
      <c r="N377">
        <v>15061.43</v>
      </c>
      <c r="O377" t="s">
        <v>42</v>
      </c>
    </row>
    <row r="378" spans="1:15" x14ac:dyDescent="0.25">
      <c r="A378" t="s">
        <v>448</v>
      </c>
      <c r="B378" s="1">
        <v>45884</v>
      </c>
      <c r="C378" t="s">
        <v>65</v>
      </c>
      <c r="D378" t="s">
        <v>66</v>
      </c>
      <c r="E378" t="s">
        <v>67</v>
      </c>
      <c r="F378" t="s">
        <v>52</v>
      </c>
      <c r="G378" t="s">
        <v>28</v>
      </c>
      <c r="H378" t="s">
        <v>68</v>
      </c>
      <c r="I378" t="s">
        <v>69</v>
      </c>
      <c r="J378">
        <v>3</v>
      </c>
      <c r="K378">
        <v>16505</v>
      </c>
      <c r="L378">
        <v>20</v>
      </c>
      <c r="M378">
        <v>39612</v>
      </c>
      <c r="N378">
        <v>9492.77</v>
      </c>
      <c r="O378" t="s">
        <v>34</v>
      </c>
    </row>
    <row r="379" spans="1:15" x14ac:dyDescent="0.25">
      <c r="A379" t="s">
        <v>449</v>
      </c>
      <c r="B379" s="1">
        <v>45702</v>
      </c>
      <c r="C379" t="s">
        <v>25</v>
      </c>
      <c r="D379" t="s">
        <v>26</v>
      </c>
      <c r="E379" t="s">
        <v>27</v>
      </c>
      <c r="F379" t="s">
        <v>52</v>
      </c>
      <c r="G379" t="s">
        <v>20</v>
      </c>
      <c r="H379" t="s">
        <v>40</v>
      </c>
      <c r="I379" t="s">
        <v>59</v>
      </c>
      <c r="J379">
        <v>7</v>
      </c>
      <c r="K379">
        <v>42009</v>
      </c>
      <c r="L379">
        <v>20</v>
      </c>
      <c r="M379">
        <v>235250.4</v>
      </c>
      <c r="N379">
        <v>53713.29</v>
      </c>
      <c r="O379" t="s">
        <v>42</v>
      </c>
    </row>
    <row r="380" spans="1:15" x14ac:dyDescent="0.25">
      <c r="A380" t="s">
        <v>450</v>
      </c>
      <c r="B380" s="1">
        <v>45779</v>
      </c>
      <c r="C380" t="s">
        <v>36</v>
      </c>
      <c r="D380" t="s">
        <v>37</v>
      </c>
      <c r="E380" t="s">
        <v>38</v>
      </c>
      <c r="F380" t="s">
        <v>72</v>
      </c>
      <c r="G380" t="s">
        <v>20</v>
      </c>
      <c r="H380" t="s">
        <v>68</v>
      </c>
      <c r="I380" t="s">
        <v>69</v>
      </c>
      <c r="J380">
        <v>1</v>
      </c>
      <c r="K380">
        <v>47924</v>
      </c>
      <c r="L380">
        <v>10</v>
      </c>
      <c r="M380">
        <v>43131.6</v>
      </c>
      <c r="N380">
        <v>9003.73</v>
      </c>
      <c r="O380" t="s">
        <v>31</v>
      </c>
    </row>
    <row r="381" spans="1:15" x14ac:dyDescent="0.25">
      <c r="A381" t="s">
        <v>451</v>
      </c>
      <c r="B381" s="1">
        <v>45737</v>
      </c>
      <c r="C381" t="s">
        <v>25</v>
      </c>
      <c r="D381" t="s">
        <v>26</v>
      </c>
      <c r="E381" t="s">
        <v>27</v>
      </c>
      <c r="F381" t="s">
        <v>63</v>
      </c>
      <c r="G381" t="s">
        <v>20</v>
      </c>
      <c r="H381" t="s">
        <v>68</v>
      </c>
      <c r="I381" t="s">
        <v>94</v>
      </c>
      <c r="J381">
        <v>7</v>
      </c>
      <c r="K381">
        <v>42896</v>
      </c>
      <c r="L381">
        <v>15</v>
      </c>
      <c r="M381">
        <v>255231.2</v>
      </c>
      <c r="N381">
        <v>61911.64</v>
      </c>
      <c r="O381" t="s">
        <v>34</v>
      </c>
    </row>
    <row r="382" spans="1:15" x14ac:dyDescent="0.25">
      <c r="A382" t="s">
        <v>452</v>
      </c>
      <c r="B382" s="1">
        <v>45890</v>
      </c>
      <c r="C382" t="s">
        <v>65</v>
      </c>
      <c r="D382" t="s">
        <v>82</v>
      </c>
      <c r="E382" t="s">
        <v>83</v>
      </c>
      <c r="F382" t="s">
        <v>47</v>
      </c>
      <c r="G382" t="s">
        <v>20</v>
      </c>
      <c r="H382" t="s">
        <v>68</v>
      </c>
      <c r="I382" t="s">
        <v>69</v>
      </c>
      <c r="J382">
        <v>1</v>
      </c>
      <c r="K382">
        <v>76113</v>
      </c>
      <c r="L382">
        <v>10</v>
      </c>
      <c r="M382">
        <v>68501.7</v>
      </c>
      <c r="N382">
        <v>7483.56</v>
      </c>
      <c r="O382" t="s">
        <v>23</v>
      </c>
    </row>
    <row r="383" spans="1:15" x14ac:dyDescent="0.25">
      <c r="A383" t="s">
        <v>453</v>
      </c>
      <c r="B383" s="1">
        <v>45988</v>
      </c>
      <c r="C383" t="s">
        <v>16</v>
      </c>
      <c r="D383" t="s">
        <v>106</v>
      </c>
      <c r="E383" t="s">
        <v>107</v>
      </c>
      <c r="F383" t="s">
        <v>72</v>
      </c>
      <c r="G383" t="s">
        <v>20</v>
      </c>
      <c r="H383" t="s">
        <v>21</v>
      </c>
      <c r="I383" t="s">
        <v>45</v>
      </c>
      <c r="J383">
        <v>9</v>
      </c>
      <c r="K383">
        <v>56527</v>
      </c>
      <c r="L383">
        <v>0</v>
      </c>
      <c r="M383">
        <v>508743</v>
      </c>
      <c r="N383">
        <v>53518.19</v>
      </c>
      <c r="O383" t="s">
        <v>42</v>
      </c>
    </row>
    <row r="384" spans="1:15" x14ac:dyDescent="0.25">
      <c r="A384" t="s">
        <v>454</v>
      </c>
      <c r="B384" s="1">
        <v>45809</v>
      </c>
      <c r="C384" t="s">
        <v>25</v>
      </c>
      <c r="D384" t="s">
        <v>26</v>
      </c>
      <c r="E384" t="s">
        <v>27</v>
      </c>
      <c r="F384" t="s">
        <v>33</v>
      </c>
      <c r="G384" t="s">
        <v>28</v>
      </c>
      <c r="H384" t="s">
        <v>68</v>
      </c>
      <c r="I384" t="s">
        <v>69</v>
      </c>
      <c r="J384">
        <v>3</v>
      </c>
      <c r="K384">
        <v>21938</v>
      </c>
      <c r="L384">
        <v>15</v>
      </c>
      <c r="M384">
        <v>55941.9</v>
      </c>
      <c r="N384">
        <v>5471.92</v>
      </c>
      <c r="O384" t="s">
        <v>23</v>
      </c>
    </row>
    <row r="385" spans="1:15" x14ac:dyDescent="0.25">
      <c r="A385" t="s">
        <v>455</v>
      </c>
      <c r="B385" s="1">
        <v>45670</v>
      </c>
      <c r="C385" t="s">
        <v>16</v>
      </c>
      <c r="D385" t="s">
        <v>17</v>
      </c>
      <c r="E385" t="s">
        <v>18</v>
      </c>
      <c r="F385" t="s">
        <v>93</v>
      </c>
      <c r="G385" t="s">
        <v>28</v>
      </c>
      <c r="H385" t="s">
        <v>40</v>
      </c>
      <c r="I385" t="s">
        <v>59</v>
      </c>
      <c r="J385">
        <v>5</v>
      </c>
      <c r="K385">
        <v>10012</v>
      </c>
      <c r="L385">
        <v>5</v>
      </c>
      <c r="M385">
        <v>47557</v>
      </c>
      <c r="N385">
        <v>6654.37</v>
      </c>
      <c r="O385" t="s">
        <v>34</v>
      </c>
    </row>
    <row r="386" spans="1:15" x14ac:dyDescent="0.25">
      <c r="A386" t="s">
        <v>456</v>
      </c>
      <c r="B386" s="1">
        <v>45745</v>
      </c>
      <c r="C386" t="s">
        <v>65</v>
      </c>
      <c r="D386" t="s">
        <v>82</v>
      </c>
      <c r="E386" t="s">
        <v>83</v>
      </c>
      <c r="F386" t="s">
        <v>72</v>
      </c>
      <c r="G386" t="s">
        <v>20</v>
      </c>
      <c r="H386" t="s">
        <v>29</v>
      </c>
      <c r="I386" t="s">
        <v>30</v>
      </c>
      <c r="J386">
        <v>5</v>
      </c>
      <c r="K386">
        <v>7329</v>
      </c>
      <c r="L386">
        <v>5</v>
      </c>
      <c r="M386">
        <v>34812.75</v>
      </c>
      <c r="N386">
        <v>2881.65</v>
      </c>
      <c r="O386" t="s">
        <v>31</v>
      </c>
    </row>
    <row r="387" spans="1:15" x14ac:dyDescent="0.25">
      <c r="A387" t="s">
        <v>457</v>
      </c>
      <c r="B387" s="1">
        <v>46014</v>
      </c>
      <c r="C387" t="s">
        <v>36</v>
      </c>
      <c r="D387" t="s">
        <v>85</v>
      </c>
      <c r="E387" t="s">
        <v>86</v>
      </c>
      <c r="F387" t="s">
        <v>33</v>
      </c>
      <c r="G387" t="s">
        <v>20</v>
      </c>
      <c r="H387" t="s">
        <v>77</v>
      </c>
      <c r="I387" t="s">
        <v>100</v>
      </c>
      <c r="J387">
        <v>9</v>
      </c>
      <c r="K387">
        <v>38518</v>
      </c>
      <c r="L387">
        <v>0</v>
      </c>
      <c r="M387">
        <v>346662</v>
      </c>
      <c r="N387">
        <v>85203.57</v>
      </c>
      <c r="O387" t="s">
        <v>42</v>
      </c>
    </row>
    <row r="388" spans="1:15" x14ac:dyDescent="0.25">
      <c r="A388" t="s">
        <v>458</v>
      </c>
      <c r="B388" s="1">
        <v>45948</v>
      </c>
      <c r="C388" t="s">
        <v>65</v>
      </c>
      <c r="D388" t="s">
        <v>66</v>
      </c>
      <c r="E388" t="s">
        <v>67</v>
      </c>
      <c r="F388" t="s">
        <v>93</v>
      </c>
      <c r="G388" t="s">
        <v>28</v>
      </c>
      <c r="H388" t="s">
        <v>77</v>
      </c>
      <c r="I388" t="s">
        <v>78</v>
      </c>
      <c r="J388">
        <v>2</v>
      </c>
      <c r="K388">
        <v>35106</v>
      </c>
      <c r="L388">
        <v>15</v>
      </c>
      <c r="M388">
        <v>59680.2</v>
      </c>
      <c r="N388">
        <v>6233.16</v>
      </c>
      <c r="O388" t="s">
        <v>23</v>
      </c>
    </row>
    <row r="389" spans="1:15" x14ac:dyDescent="0.25">
      <c r="A389" t="s">
        <v>459</v>
      </c>
      <c r="B389" s="1">
        <v>45949</v>
      </c>
      <c r="C389" t="s">
        <v>65</v>
      </c>
      <c r="D389" t="s">
        <v>66</v>
      </c>
      <c r="E389" t="s">
        <v>67</v>
      </c>
      <c r="F389" t="s">
        <v>47</v>
      </c>
      <c r="G389" t="s">
        <v>28</v>
      </c>
      <c r="H389" t="s">
        <v>68</v>
      </c>
      <c r="I389" t="s">
        <v>69</v>
      </c>
      <c r="J389">
        <v>10</v>
      </c>
      <c r="K389">
        <v>68941</v>
      </c>
      <c r="L389">
        <v>0</v>
      </c>
      <c r="M389">
        <v>689410</v>
      </c>
      <c r="N389">
        <v>90561.63</v>
      </c>
      <c r="O389" t="s">
        <v>34</v>
      </c>
    </row>
    <row r="390" spans="1:15" x14ac:dyDescent="0.25">
      <c r="A390" t="s">
        <v>460</v>
      </c>
      <c r="B390" s="1">
        <v>45974</v>
      </c>
      <c r="C390" t="s">
        <v>16</v>
      </c>
      <c r="D390" t="s">
        <v>17</v>
      </c>
      <c r="E390" t="s">
        <v>18</v>
      </c>
      <c r="F390" t="s">
        <v>39</v>
      </c>
      <c r="G390" t="s">
        <v>20</v>
      </c>
      <c r="H390" t="s">
        <v>77</v>
      </c>
      <c r="I390" t="s">
        <v>88</v>
      </c>
      <c r="J390">
        <v>5</v>
      </c>
      <c r="K390">
        <v>73387</v>
      </c>
      <c r="L390">
        <v>5</v>
      </c>
      <c r="M390">
        <v>348588.25</v>
      </c>
      <c r="N390">
        <v>35507.040000000001</v>
      </c>
      <c r="O390" t="s">
        <v>34</v>
      </c>
    </row>
    <row r="391" spans="1:15" x14ac:dyDescent="0.25">
      <c r="A391" t="s">
        <v>461</v>
      </c>
      <c r="B391" s="1">
        <v>45956</v>
      </c>
      <c r="C391" t="s">
        <v>25</v>
      </c>
      <c r="D391" t="s">
        <v>26</v>
      </c>
      <c r="E391" t="s">
        <v>27</v>
      </c>
      <c r="F391" t="s">
        <v>93</v>
      </c>
      <c r="G391" t="s">
        <v>28</v>
      </c>
      <c r="H391" t="s">
        <v>21</v>
      </c>
      <c r="I391" t="s">
        <v>56</v>
      </c>
      <c r="J391">
        <v>10</v>
      </c>
      <c r="K391">
        <v>44736</v>
      </c>
      <c r="L391">
        <v>20</v>
      </c>
      <c r="M391">
        <v>357888</v>
      </c>
      <c r="N391">
        <v>56544.71</v>
      </c>
      <c r="O391" t="s">
        <v>23</v>
      </c>
    </row>
    <row r="392" spans="1:15" x14ac:dyDescent="0.25">
      <c r="A392" t="s">
        <v>462</v>
      </c>
      <c r="B392" s="1">
        <v>45992</v>
      </c>
      <c r="C392" t="s">
        <v>65</v>
      </c>
      <c r="D392" t="s">
        <v>82</v>
      </c>
      <c r="E392" t="s">
        <v>83</v>
      </c>
      <c r="F392" t="s">
        <v>33</v>
      </c>
      <c r="G392" t="s">
        <v>28</v>
      </c>
      <c r="H392" t="s">
        <v>68</v>
      </c>
      <c r="I392" t="s">
        <v>94</v>
      </c>
      <c r="J392">
        <v>10</v>
      </c>
      <c r="K392">
        <v>19378</v>
      </c>
      <c r="L392">
        <v>20</v>
      </c>
      <c r="M392">
        <v>155024</v>
      </c>
      <c r="N392">
        <v>28179.51</v>
      </c>
      <c r="O392" t="s">
        <v>31</v>
      </c>
    </row>
    <row r="393" spans="1:15" x14ac:dyDescent="0.25">
      <c r="A393" t="s">
        <v>463</v>
      </c>
      <c r="B393" s="1">
        <v>45985</v>
      </c>
      <c r="C393" t="s">
        <v>36</v>
      </c>
      <c r="D393" t="s">
        <v>37</v>
      </c>
      <c r="E393" t="s">
        <v>38</v>
      </c>
      <c r="F393" t="s">
        <v>39</v>
      </c>
      <c r="G393" t="s">
        <v>28</v>
      </c>
      <c r="H393" t="s">
        <v>77</v>
      </c>
      <c r="I393" t="s">
        <v>100</v>
      </c>
      <c r="J393">
        <v>6</v>
      </c>
      <c r="K393">
        <v>66800</v>
      </c>
      <c r="L393">
        <v>5</v>
      </c>
      <c r="M393">
        <v>380760</v>
      </c>
      <c r="N393">
        <v>89490.97</v>
      </c>
      <c r="O393" t="s">
        <v>23</v>
      </c>
    </row>
    <row r="394" spans="1:15" x14ac:dyDescent="0.25">
      <c r="A394" t="s">
        <v>464</v>
      </c>
      <c r="B394" s="1">
        <v>45906</v>
      </c>
      <c r="C394" t="s">
        <v>25</v>
      </c>
      <c r="D394" t="s">
        <v>26</v>
      </c>
      <c r="E394" t="s">
        <v>27</v>
      </c>
      <c r="F394" t="s">
        <v>47</v>
      </c>
      <c r="G394" t="s">
        <v>20</v>
      </c>
      <c r="H394" t="s">
        <v>29</v>
      </c>
      <c r="I394" t="s">
        <v>30</v>
      </c>
      <c r="J394">
        <v>8</v>
      </c>
      <c r="K394">
        <v>17566</v>
      </c>
      <c r="L394">
        <v>5</v>
      </c>
      <c r="M394">
        <v>133501.6</v>
      </c>
      <c r="N394">
        <v>19959.14</v>
      </c>
      <c r="O394" t="s">
        <v>31</v>
      </c>
    </row>
    <row r="395" spans="1:15" x14ac:dyDescent="0.25">
      <c r="A395" t="s">
        <v>465</v>
      </c>
      <c r="B395" s="1">
        <v>45871</v>
      </c>
      <c r="C395" t="s">
        <v>65</v>
      </c>
      <c r="D395" t="s">
        <v>82</v>
      </c>
      <c r="E395" t="s">
        <v>83</v>
      </c>
      <c r="F395" t="s">
        <v>72</v>
      </c>
      <c r="G395" t="s">
        <v>20</v>
      </c>
      <c r="H395" t="s">
        <v>68</v>
      </c>
      <c r="I395" t="s">
        <v>69</v>
      </c>
      <c r="J395">
        <v>4</v>
      </c>
      <c r="K395">
        <v>32319</v>
      </c>
      <c r="L395">
        <v>5</v>
      </c>
      <c r="M395">
        <v>122812.2</v>
      </c>
      <c r="N395">
        <v>12568.92</v>
      </c>
      <c r="O395" t="s">
        <v>34</v>
      </c>
    </row>
    <row r="396" spans="1:15" x14ac:dyDescent="0.25">
      <c r="A396" t="s">
        <v>466</v>
      </c>
      <c r="B396" s="1">
        <v>45667</v>
      </c>
      <c r="C396" t="s">
        <v>25</v>
      </c>
      <c r="D396" t="s">
        <v>26</v>
      </c>
      <c r="E396" t="s">
        <v>27</v>
      </c>
      <c r="F396" t="s">
        <v>19</v>
      </c>
      <c r="G396" t="s">
        <v>20</v>
      </c>
      <c r="H396" t="s">
        <v>21</v>
      </c>
      <c r="I396" t="s">
        <v>45</v>
      </c>
      <c r="J396">
        <v>5</v>
      </c>
      <c r="K396">
        <v>22414</v>
      </c>
      <c r="L396">
        <v>5</v>
      </c>
      <c r="M396">
        <v>106466.5</v>
      </c>
      <c r="N396">
        <v>9141.7199999999993</v>
      </c>
      <c r="O396" t="s">
        <v>31</v>
      </c>
    </row>
    <row r="397" spans="1:15" x14ac:dyDescent="0.25">
      <c r="A397" t="s">
        <v>467</v>
      </c>
      <c r="B397" s="1">
        <v>45995</v>
      </c>
      <c r="C397" t="s">
        <v>65</v>
      </c>
      <c r="D397" t="s">
        <v>66</v>
      </c>
      <c r="E397" t="s">
        <v>67</v>
      </c>
      <c r="F397" t="s">
        <v>72</v>
      </c>
      <c r="G397" t="s">
        <v>20</v>
      </c>
      <c r="H397" t="s">
        <v>29</v>
      </c>
      <c r="I397" t="s">
        <v>30</v>
      </c>
      <c r="J397">
        <v>8</v>
      </c>
      <c r="K397">
        <v>46852</v>
      </c>
      <c r="L397">
        <v>20</v>
      </c>
      <c r="M397">
        <v>299852.79999999999</v>
      </c>
      <c r="N397">
        <v>63779.72</v>
      </c>
      <c r="O397" t="s">
        <v>42</v>
      </c>
    </row>
    <row r="398" spans="1:15" x14ac:dyDescent="0.25">
      <c r="A398" t="s">
        <v>468</v>
      </c>
      <c r="B398" s="1">
        <v>45958</v>
      </c>
      <c r="C398" t="s">
        <v>65</v>
      </c>
      <c r="D398" t="s">
        <v>82</v>
      </c>
      <c r="E398" t="s">
        <v>83</v>
      </c>
      <c r="F398" t="s">
        <v>52</v>
      </c>
      <c r="G398" t="s">
        <v>20</v>
      </c>
      <c r="H398" t="s">
        <v>68</v>
      </c>
      <c r="I398" t="s">
        <v>90</v>
      </c>
      <c r="J398">
        <v>6</v>
      </c>
      <c r="K398">
        <v>58705</v>
      </c>
      <c r="L398">
        <v>0</v>
      </c>
      <c r="M398">
        <v>352230</v>
      </c>
      <c r="N398">
        <v>61464.29</v>
      </c>
      <c r="O398" t="s">
        <v>34</v>
      </c>
    </row>
    <row r="399" spans="1:15" x14ac:dyDescent="0.25">
      <c r="A399" t="s">
        <v>469</v>
      </c>
      <c r="B399" s="1">
        <v>45840</v>
      </c>
      <c r="C399" t="s">
        <v>65</v>
      </c>
      <c r="D399" t="s">
        <v>66</v>
      </c>
      <c r="E399" t="s">
        <v>67</v>
      </c>
      <c r="F399" t="s">
        <v>63</v>
      </c>
      <c r="G399" t="s">
        <v>28</v>
      </c>
      <c r="H399" t="s">
        <v>68</v>
      </c>
      <c r="I399" t="s">
        <v>94</v>
      </c>
      <c r="J399">
        <v>3</v>
      </c>
      <c r="K399">
        <v>48321</v>
      </c>
      <c r="L399">
        <v>0</v>
      </c>
      <c r="M399">
        <v>144963</v>
      </c>
      <c r="N399">
        <v>27600.84</v>
      </c>
      <c r="O399" t="s">
        <v>31</v>
      </c>
    </row>
    <row r="400" spans="1:15" x14ac:dyDescent="0.25">
      <c r="A400" t="s">
        <v>470</v>
      </c>
      <c r="B400" s="1">
        <v>45994</v>
      </c>
      <c r="C400" t="s">
        <v>36</v>
      </c>
      <c r="D400" t="s">
        <v>85</v>
      </c>
      <c r="E400" t="s">
        <v>86</v>
      </c>
      <c r="F400" t="s">
        <v>93</v>
      </c>
      <c r="G400" t="s">
        <v>28</v>
      </c>
      <c r="H400" t="s">
        <v>21</v>
      </c>
      <c r="I400" t="s">
        <v>22</v>
      </c>
      <c r="J400">
        <v>9</v>
      </c>
      <c r="K400">
        <v>66458</v>
      </c>
      <c r="L400">
        <v>15</v>
      </c>
      <c r="M400">
        <v>508403.7</v>
      </c>
      <c r="N400">
        <v>75413.5</v>
      </c>
      <c r="O400" t="s">
        <v>23</v>
      </c>
    </row>
    <row r="401" spans="1:15" x14ac:dyDescent="0.25">
      <c r="A401" t="s">
        <v>471</v>
      </c>
      <c r="B401" s="1">
        <v>45843</v>
      </c>
      <c r="C401" t="s">
        <v>36</v>
      </c>
      <c r="D401" t="s">
        <v>85</v>
      </c>
      <c r="E401" t="s">
        <v>86</v>
      </c>
      <c r="F401" t="s">
        <v>72</v>
      </c>
      <c r="G401" t="s">
        <v>20</v>
      </c>
      <c r="H401" t="s">
        <v>77</v>
      </c>
      <c r="I401" t="s">
        <v>78</v>
      </c>
      <c r="J401">
        <v>7</v>
      </c>
      <c r="K401">
        <v>3484</v>
      </c>
      <c r="L401">
        <v>20</v>
      </c>
      <c r="M401">
        <v>19510.400000000001</v>
      </c>
      <c r="N401">
        <v>3022.42</v>
      </c>
      <c r="O401" t="s">
        <v>31</v>
      </c>
    </row>
    <row r="402" spans="1:15" x14ac:dyDescent="0.25">
      <c r="A402" t="s">
        <v>472</v>
      </c>
      <c r="B402" s="1">
        <v>45978</v>
      </c>
      <c r="C402" t="s">
        <v>25</v>
      </c>
      <c r="D402" t="s">
        <v>26</v>
      </c>
      <c r="E402" t="s">
        <v>27</v>
      </c>
      <c r="F402" t="s">
        <v>19</v>
      </c>
      <c r="G402" t="s">
        <v>20</v>
      </c>
      <c r="H402" t="s">
        <v>77</v>
      </c>
      <c r="I402" t="s">
        <v>100</v>
      </c>
      <c r="J402">
        <v>7</v>
      </c>
      <c r="K402">
        <v>31925</v>
      </c>
      <c r="L402">
        <v>0</v>
      </c>
      <c r="M402">
        <v>223475</v>
      </c>
      <c r="N402">
        <v>25103.89</v>
      </c>
      <c r="O402" t="s">
        <v>31</v>
      </c>
    </row>
    <row r="403" spans="1:15" x14ac:dyDescent="0.25">
      <c r="A403" t="s">
        <v>473</v>
      </c>
      <c r="B403" s="1">
        <v>45723</v>
      </c>
      <c r="C403" t="s">
        <v>16</v>
      </c>
      <c r="D403" t="s">
        <v>106</v>
      </c>
      <c r="E403" t="s">
        <v>107</v>
      </c>
      <c r="F403" t="s">
        <v>39</v>
      </c>
      <c r="G403" t="s">
        <v>28</v>
      </c>
      <c r="H403" t="s">
        <v>68</v>
      </c>
      <c r="I403" t="s">
        <v>69</v>
      </c>
      <c r="J403">
        <v>1</v>
      </c>
      <c r="K403">
        <v>19759</v>
      </c>
      <c r="L403">
        <v>15</v>
      </c>
      <c r="M403">
        <v>16795.150000000001</v>
      </c>
      <c r="N403">
        <v>1667.55</v>
      </c>
      <c r="O403" t="s">
        <v>42</v>
      </c>
    </row>
    <row r="404" spans="1:15" x14ac:dyDescent="0.25">
      <c r="A404" t="s">
        <v>474</v>
      </c>
      <c r="B404" s="1">
        <v>45706</v>
      </c>
      <c r="C404" t="s">
        <v>65</v>
      </c>
      <c r="D404" t="s">
        <v>82</v>
      </c>
      <c r="E404" t="s">
        <v>83</v>
      </c>
      <c r="F404" t="s">
        <v>47</v>
      </c>
      <c r="G404" t="s">
        <v>28</v>
      </c>
      <c r="H404" t="s">
        <v>21</v>
      </c>
      <c r="I404" t="s">
        <v>22</v>
      </c>
      <c r="J404">
        <v>1</v>
      </c>
      <c r="K404">
        <v>78729</v>
      </c>
      <c r="L404">
        <v>0</v>
      </c>
      <c r="M404">
        <v>78729</v>
      </c>
      <c r="N404">
        <v>16992.490000000002</v>
      </c>
      <c r="O404" t="s">
        <v>42</v>
      </c>
    </row>
    <row r="405" spans="1:15" x14ac:dyDescent="0.25">
      <c r="A405" t="s">
        <v>475</v>
      </c>
      <c r="B405" s="1">
        <v>45931</v>
      </c>
      <c r="C405" t="s">
        <v>65</v>
      </c>
      <c r="D405" t="s">
        <v>82</v>
      </c>
      <c r="E405" t="s">
        <v>83</v>
      </c>
      <c r="F405" t="s">
        <v>52</v>
      </c>
      <c r="G405" t="s">
        <v>28</v>
      </c>
      <c r="H405" t="s">
        <v>29</v>
      </c>
      <c r="I405" t="s">
        <v>53</v>
      </c>
      <c r="J405">
        <v>9</v>
      </c>
      <c r="K405">
        <v>73281</v>
      </c>
      <c r="L405">
        <v>15</v>
      </c>
      <c r="M405">
        <v>560599.65</v>
      </c>
      <c r="N405">
        <v>122388.42</v>
      </c>
      <c r="O405" t="s">
        <v>23</v>
      </c>
    </row>
    <row r="406" spans="1:15" x14ac:dyDescent="0.25">
      <c r="A406" t="s">
        <v>476</v>
      </c>
      <c r="B406" s="1">
        <v>45795</v>
      </c>
      <c r="C406" t="s">
        <v>25</v>
      </c>
      <c r="D406" t="s">
        <v>26</v>
      </c>
      <c r="E406" t="s">
        <v>27</v>
      </c>
      <c r="F406" t="s">
        <v>47</v>
      </c>
      <c r="G406" t="s">
        <v>20</v>
      </c>
      <c r="H406" t="s">
        <v>68</v>
      </c>
      <c r="I406" t="s">
        <v>90</v>
      </c>
      <c r="J406">
        <v>10</v>
      </c>
      <c r="K406">
        <v>44302</v>
      </c>
      <c r="L406">
        <v>20</v>
      </c>
      <c r="M406">
        <v>354416</v>
      </c>
      <c r="N406">
        <v>74077.48</v>
      </c>
      <c r="O406" t="s">
        <v>23</v>
      </c>
    </row>
    <row r="407" spans="1:15" x14ac:dyDescent="0.25">
      <c r="A407" t="s">
        <v>477</v>
      </c>
      <c r="B407" s="1">
        <v>45895</v>
      </c>
      <c r="C407" t="s">
        <v>36</v>
      </c>
      <c r="D407" t="s">
        <v>50</v>
      </c>
      <c r="E407" t="s">
        <v>51</v>
      </c>
      <c r="F407" t="s">
        <v>33</v>
      </c>
      <c r="G407" t="s">
        <v>28</v>
      </c>
      <c r="H407" t="s">
        <v>40</v>
      </c>
      <c r="I407" t="s">
        <v>41</v>
      </c>
      <c r="J407">
        <v>7</v>
      </c>
      <c r="K407">
        <v>61796</v>
      </c>
      <c r="L407">
        <v>20</v>
      </c>
      <c r="M407">
        <v>346057.6</v>
      </c>
      <c r="N407">
        <v>85832.73</v>
      </c>
      <c r="O407" t="s">
        <v>42</v>
      </c>
    </row>
    <row r="408" spans="1:15" x14ac:dyDescent="0.25">
      <c r="A408" t="s">
        <v>478</v>
      </c>
      <c r="B408" s="1">
        <v>45673</v>
      </c>
      <c r="C408" t="s">
        <v>16</v>
      </c>
      <c r="D408" t="s">
        <v>17</v>
      </c>
      <c r="E408" t="s">
        <v>18</v>
      </c>
      <c r="F408" t="s">
        <v>47</v>
      </c>
      <c r="G408" t="s">
        <v>20</v>
      </c>
      <c r="H408" t="s">
        <v>40</v>
      </c>
      <c r="I408" t="s">
        <v>80</v>
      </c>
      <c r="J408">
        <v>2</v>
      </c>
      <c r="K408">
        <v>45066</v>
      </c>
      <c r="L408">
        <v>20</v>
      </c>
      <c r="M408">
        <v>72105.600000000006</v>
      </c>
      <c r="N408">
        <v>6170.08</v>
      </c>
      <c r="O408" t="s">
        <v>23</v>
      </c>
    </row>
    <row r="409" spans="1:15" x14ac:dyDescent="0.25">
      <c r="A409" t="s">
        <v>479</v>
      </c>
      <c r="B409" s="1">
        <v>45756</v>
      </c>
      <c r="C409" t="s">
        <v>36</v>
      </c>
      <c r="D409" t="s">
        <v>85</v>
      </c>
      <c r="E409" t="s">
        <v>86</v>
      </c>
      <c r="F409" t="s">
        <v>39</v>
      </c>
      <c r="G409" t="s">
        <v>28</v>
      </c>
      <c r="H409" t="s">
        <v>40</v>
      </c>
      <c r="I409" t="s">
        <v>59</v>
      </c>
      <c r="J409">
        <v>10</v>
      </c>
      <c r="K409">
        <v>9853</v>
      </c>
      <c r="L409">
        <v>20</v>
      </c>
      <c r="M409">
        <v>78824</v>
      </c>
      <c r="N409">
        <v>11874.35</v>
      </c>
      <c r="O409" t="s">
        <v>31</v>
      </c>
    </row>
    <row r="410" spans="1:15" x14ac:dyDescent="0.25">
      <c r="A410" t="s">
        <v>480</v>
      </c>
      <c r="B410" s="1">
        <v>45928</v>
      </c>
      <c r="C410" t="s">
        <v>16</v>
      </c>
      <c r="D410" t="s">
        <v>44</v>
      </c>
      <c r="E410" t="s">
        <v>44</v>
      </c>
      <c r="F410" t="s">
        <v>39</v>
      </c>
      <c r="G410" t="s">
        <v>28</v>
      </c>
      <c r="H410" t="s">
        <v>21</v>
      </c>
      <c r="I410" t="s">
        <v>22</v>
      </c>
      <c r="J410">
        <v>3</v>
      </c>
      <c r="K410">
        <v>54573</v>
      </c>
      <c r="L410">
        <v>5</v>
      </c>
      <c r="M410">
        <v>155533.04999999999</v>
      </c>
      <c r="N410">
        <v>19954.34</v>
      </c>
      <c r="O410" t="s">
        <v>23</v>
      </c>
    </row>
    <row r="411" spans="1:15" x14ac:dyDescent="0.25">
      <c r="A411" t="s">
        <v>481</v>
      </c>
      <c r="B411" s="1">
        <v>45731</v>
      </c>
      <c r="C411" t="s">
        <v>36</v>
      </c>
      <c r="D411" t="s">
        <v>37</v>
      </c>
      <c r="E411" t="s">
        <v>38</v>
      </c>
      <c r="F411" t="s">
        <v>47</v>
      </c>
      <c r="G411" t="s">
        <v>28</v>
      </c>
      <c r="H411" t="s">
        <v>21</v>
      </c>
      <c r="I411" t="s">
        <v>56</v>
      </c>
      <c r="J411">
        <v>9</v>
      </c>
      <c r="K411">
        <v>17373</v>
      </c>
      <c r="L411">
        <v>10</v>
      </c>
      <c r="M411">
        <v>140721.29999999999</v>
      </c>
      <c r="N411">
        <v>19843.3</v>
      </c>
      <c r="O411" t="s">
        <v>42</v>
      </c>
    </row>
    <row r="412" spans="1:15" x14ac:dyDescent="0.25">
      <c r="A412" t="s">
        <v>482</v>
      </c>
      <c r="B412" s="1">
        <v>45711</v>
      </c>
      <c r="C412" t="s">
        <v>36</v>
      </c>
      <c r="D412" t="s">
        <v>50</v>
      </c>
      <c r="E412" t="s">
        <v>51</v>
      </c>
      <c r="F412" t="s">
        <v>47</v>
      </c>
      <c r="G412" t="s">
        <v>28</v>
      </c>
      <c r="H412" t="s">
        <v>68</v>
      </c>
      <c r="I412" t="s">
        <v>69</v>
      </c>
      <c r="J412">
        <v>6</v>
      </c>
      <c r="K412">
        <v>50515</v>
      </c>
      <c r="L412">
        <v>10</v>
      </c>
      <c r="M412">
        <v>272781</v>
      </c>
      <c r="N412">
        <v>30356.22</v>
      </c>
      <c r="O412" t="s">
        <v>34</v>
      </c>
    </row>
    <row r="413" spans="1:15" x14ac:dyDescent="0.25">
      <c r="A413" t="s">
        <v>483</v>
      </c>
      <c r="B413" s="1">
        <v>45716</v>
      </c>
      <c r="C413" t="s">
        <v>25</v>
      </c>
      <c r="D413" t="s">
        <v>61</v>
      </c>
      <c r="E413" t="s">
        <v>62</v>
      </c>
      <c r="F413" t="s">
        <v>33</v>
      </c>
      <c r="G413" t="s">
        <v>20</v>
      </c>
      <c r="H413" t="s">
        <v>40</v>
      </c>
      <c r="I413" t="s">
        <v>59</v>
      </c>
      <c r="J413">
        <v>4</v>
      </c>
      <c r="K413">
        <v>2441</v>
      </c>
      <c r="L413">
        <v>10</v>
      </c>
      <c r="M413">
        <v>8787.6</v>
      </c>
      <c r="N413">
        <v>1961.76</v>
      </c>
      <c r="O413" t="s">
        <v>23</v>
      </c>
    </row>
    <row r="414" spans="1:15" x14ac:dyDescent="0.25">
      <c r="A414" t="s">
        <v>484</v>
      </c>
      <c r="B414" s="1">
        <v>45989</v>
      </c>
      <c r="C414" t="s">
        <v>16</v>
      </c>
      <c r="D414" t="s">
        <v>44</v>
      </c>
      <c r="E414" t="s">
        <v>44</v>
      </c>
      <c r="F414" t="s">
        <v>19</v>
      </c>
      <c r="G414" t="s">
        <v>28</v>
      </c>
      <c r="H414" t="s">
        <v>77</v>
      </c>
      <c r="I414" t="s">
        <v>100</v>
      </c>
      <c r="J414">
        <v>7</v>
      </c>
      <c r="K414">
        <v>55545</v>
      </c>
      <c r="L414">
        <v>20</v>
      </c>
      <c r="M414">
        <v>311052</v>
      </c>
      <c r="N414">
        <v>45374.53</v>
      </c>
      <c r="O414" t="s">
        <v>23</v>
      </c>
    </row>
    <row r="415" spans="1:15" x14ac:dyDescent="0.25">
      <c r="A415" t="s">
        <v>485</v>
      </c>
      <c r="B415" s="1">
        <v>46013</v>
      </c>
      <c r="C415" t="s">
        <v>36</v>
      </c>
      <c r="D415" t="s">
        <v>85</v>
      </c>
      <c r="E415" t="s">
        <v>86</v>
      </c>
      <c r="F415" t="s">
        <v>63</v>
      </c>
      <c r="G415" t="s">
        <v>20</v>
      </c>
      <c r="H415" t="s">
        <v>40</v>
      </c>
      <c r="I415" t="s">
        <v>80</v>
      </c>
      <c r="J415">
        <v>5</v>
      </c>
      <c r="K415">
        <v>73692</v>
      </c>
      <c r="L415">
        <v>10</v>
      </c>
      <c r="M415">
        <v>331614</v>
      </c>
      <c r="N415">
        <v>48508.88</v>
      </c>
      <c r="O415" t="s">
        <v>42</v>
      </c>
    </row>
    <row r="416" spans="1:15" x14ac:dyDescent="0.25">
      <c r="A416" t="s">
        <v>486</v>
      </c>
      <c r="B416" s="1">
        <v>45839</v>
      </c>
      <c r="C416" t="s">
        <v>16</v>
      </c>
      <c r="D416" t="s">
        <v>17</v>
      </c>
      <c r="E416" t="s">
        <v>18</v>
      </c>
      <c r="F416" t="s">
        <v>33</v>
      </c>
      <c r="G416" t="s">
        <v>20</v>
      </c>
      <c r="H416" t="s">
        <v>21</v>
      </c>
      <c r="I416" t="s">
        <v>22</v>
      </c>
      <c r="J416">
        <v>8</v>
      </c>
      <c r="K416">
        <v>27703</v>
      </c>
      <c r="L416">
        <v>20</v>
      </c>
      <c r="M416">
        <v>177299.20000000001</v>
      </c>
      <c r="N416">
        <v>29640.95</v>
      </c>
      <c r="O416" t="s">
        <v>34</v>
      </c>
    </row>
    <row r="417" spans="1:15" x14ac:dyDescent="0.25">
      <c r="A417" t="s">
        <v>487</v>
      </c>
      <c r="B417" s="1">
        <v>46019</v>
      </c>
      <c r="C417" t="s">
        <v>25</v>
      </c>
      <c r="D417" t="s">
        <v>26</v>
      </c>
      <c r="E417" t="s">
        <v>27</v>
      </c>
      <c r="F417" t="s">
        <v>33</v>
      </c>
      <c r="G417" t="s">
        <v>28</v>
      </c>
      <c r="H417" t="s">
        <v>40</v>
      </c>
      <c r="I417" t="s">
        <v>80</v>
      </c>
      <c r="J417">
        <v>6</v>
      </c>
      <c r="K417">
        <v>20391</v>
      </c>
      <c r="L417">
        <v>0</v>
      </c>
      <c r="M417">
        <v>122346</v>
      </c>
      <c r="N417">
        <v>12107.2</v>
      </c>
      <c r="O417" t="s">
        <v>31</v>
      </c>
    </row>
    <row r="418" spans="1:15" x14ac:dyDescent="0.25">
      <c r="A418" t="s">
        <v>488</v>
      </c>
      <c r="B418" s="1">
        <v>45715</v>
      </c>
      <c r="C418" t="s">
        <v>25</v>
      </c>
      <c r="D418" t="s">
        <v>26</v>
      </c>
      <c r="E418" t="s">
        <v>27</v>
      </c>
      <c r="F418" t="s">
        <v>33</v>
      </c>
      <c r="G418" t="s">
        <v>28</v>
      </c>
      <c r="H418" t="s">
        <v>40</v>
      </c>
      <c r="I418" t="s">
        <v>41</v>
      </c>
      <c r="J418">
        <v>6</v>
      </c>
      <c r="K418">
        <v>402</v>
      </c>
      <c r="L418">
        <v>10</v>
      </c>
      <c r="M418">
        <v>2170.8000000000002</v>
      </c>
      <c r="N418">
        <v>507.64</v>
      </c>
      <c r="O418" t="s">
        <v>42</v>
      </c>
    </row>
    <row r="419" spans="1:15" x14ac:dyDescent="0.25">
      <c r="A419" t="s">
        <v>489</v>
      </c>
      <c r="B419" s="1">
        <v>45901</v>
      </c>
      <c r="C419" t="s">
        <v>36</v>
      </c>
      <c r="D419" t="s">
        <v>85</v>
      </c>
      <c r="E419" t="s">
        <v>86</v>
      </c>
      <c r="F419" t="s">
        <v>19</v>
      </c>
      <c r="G419" t="s">
        <v>28</v>
      </c>
      <c r="H419" t="s">
        <v>40</v>
      </c>
      <c r="I419" t="s">
        <v>59</v>
      </c>
      <c r="J419">
        <v>1</v>
      </c>
      <c r="K419">
        <v>6036</v>
      </c>
      <c r="L419">
        <v>15</v>
      </c>
      <c r="M419">
        <v>5130.6000000000004</v>
      </c>
      <c r="N419">
        <v>893.11</v>
      </c>
      <c r="O419" t="s">
        <v>42</v>
      </c>
    </row>
    <row r="420" spans="1:15" x14ac:dyDescent="0.25">
      <c r="A420" t="s">
        <v>490</v>
      </c>
      <c r="B420" s="1">
        <v>45862</v>
      </c>
      <c r="C420" t="s">
        <v>25</v>
      </c>
      <c r="D420" t="s">
        <v>26</v>
      </c>
      <c r="E420" t="s">
        <v>27</v>
      </c>
      <c r="F420" t="s">
        <v>33</v>
      </c>
      <c r="G420" t="s">
        <v>28</v>
      </c>
      <c r="H420" t="s">
        <v>40</v>
      </c>
      <c r="I420" t="s">
        <v>41</v>
      </c>
      <c r="J420">
        <v>7</v>
      </c>
      <c r="K420">
        <v>24428</v>
      </c>
      <c r="L420">
        <v>0</v>
      </c>
      <c r="M420">
        <v>170996</v>
      </c>
      <c r="N420">
        <v>39815.65</v>
      </c>
      <c r="O420" t="s">
        <v>34</v>
      </c>
    </row>
    <row r="421" spans="1:15" x14ac:dyDescent="0.25">
      <c r="A421" t="s">
        <v>491</v>
      </c>
      <c r="B421" s="1">
        <v>45970</v>
      </c>
      <c r="C421" t="s">
        <v>36</v>
      </c>
      <c r="D421" t="s">
        <v>50</v>
      </c>
      <c r="E421" t="s">
        <v>51</v>
      </c>
      <c r="F421" t="s">
        <v>72</v>
      </c>
      <c r="G421" t="s">
        <v>20</v>
      </c>
      <c r="H421" t="s">
        <v>40</v>
      </c>
      <c r="I421" t="s">
        <v>80</v>
      </c>
      <c r="J421">
        <v>6</v>
      </c>
      <c r="K421">
        <v>52972</v>
      </c>
      <c r="L421">
        <v>10</v>
      </c>
      <c r="M421">
        <v>286048.8</v>
      </c>
      <c r="N421">
        <v>25461.95</v>
      </c>
      <c r="O421" t="s">
        <v>23</v>
      </c>
    </row>
    <row r="422" spans="1:15" x14ac:dyDescent="0.25">
      <c r="A422" t="s">
        <v>492</v>
      </c>
      <c r="B422" s="1">
        <v>45729</v>
      </c>
      <c r="C422" t="s">
        <v>25</v>
      </c>
      <c r="D422" t="s">
        <v>61</v>
      </c>
      <c r="E422" t="s">
        <v>62</v>
      </c>
      <c r="F422" t="s">
        <v>33</v>
      </c>
      <c r="G422" t="s">
        <v>28</v>
      </c>
      <c r="H422" t="s">
        <v>68</v>
      </c>
      <c r="I422" t="s">
        <v>90</v>
      </c>
      <c r="J422">
        <v>6</v>
      </c>
      <c r="K422">
        <v>18478</v>
      </c>
      <c r="L422">
        <v>15</v>
      </c>
      <c r="M422">
        <v>94237.8</v>
      </c>
      <c r="N422">
        <v>16348.62</v>
      </c>
      <c r="O422" t="s">
        <v>31</v>
      </c>
    </row>
    <row r="423" spans="1:15" x14ac:dyDescent="0.25">
      <c r="A423" t="s">
        <v>493</v>
      </c>
      <c r="B423" s="1">
        <v>45844</v>
      </c>
      <c r="C423" t="s">
        <v>25</v>
      </c>
      <c r="D423" t="s">
        <v>26</v>
      </c>
      <c r="E423" t="s">
        <v>27</v>
      </c>
      <c r="F423" t="s">
        <v>33</v>
      </c>
      <c r="G423" t="s">
        <v>28</v>
      </c>
      <c r="H423" t="s">
        <v>21</v>
      </c>
      <c r="I423" t="s">
        <v>45</v>
      </c>
      <c r="J423">
        <v>6</v>
      </c>
      <c r="K423">
        <v>76056</v>
      </c>
      <c r="L423">
        <v>0</v>
      </c>
      <c r="M423">
        <v>456336</v>
      </c>
      <c r="N423">
        <v>81915.429999999993</v>
      </c>
      <c r="O423" t="s">
        <v>34</v>
      </c>
    </row>
    <row r="424" spans="1:15" x14ac:dyDescent="0.25">
      <c r="A424" t="s">
        <v>494</v>
      </c>
      <c r="B424" s="1">
        <v>45826</v>
      </c>
      <c r="C424" t="s">
        <v>36</v>
      </c>
      <c r="D424" t="s">
        <v>50</v>
      </c>
      <c r="E424" t="s">
        <v>51</v>
      </c>
      <c r="F424" t="s">
        <v>19</v>
      </c>
      <c r="G424" t="s">
        <v>20</v>
      </c>
      <c r="H424" t="s">
        <v>77</v>
      </c>
      <c r="I424" t="s">
        <v>78</v>
      </c>
      <c r="J424">
        <v>7</v>
      </c>
      <c r="K424">
        <v>245</v>
      </c>
      <c r="L424">
        <v>15</v>
      </c>
      <c r="M424">
        <v>1457.75</v>
      </c>
      <c r="N424">
        <v>235.03</v>
      </c>
      <c r="O424" t="s">
        <v>23</v>
      </c>
    </row>
    <row r="425" spans="1:15" x14ac:dyDescent="0.25">
      <c r="A425" t="s">
        <v>495</v>
      </c>
      <c r="B425" s="1">
        <v>45951</v>
      </c>
      <c r="C425" t="s">
        <v>16</v>
      </c>
      <c r="D425" t="s">
        <v>106</v>
      </c>
      <c r="E425" t="s">
        <v>107</v>
      </c>
      <c r="F425" t="s">
        <v>39</v>
      </c>
      <c r="G425" t="s">
        <v>28</v>
      </c>
      <c r="H425" t="s">
        <v>68</v>
      </c>
      <c r="I425" t="s">
        <v>94</v>
      </c>
      <c r="J425">
        <v>8</v>
      </c>
      <c r="K425">
        <v>1029</v>
      </c>
      <c r="L425">
        <v>20</v>
      </c>
      <c r="M425">
        <v>6585.6</v>
      </c>
      <c r="N425">
        <v>1391.15</v>
      </c>
      <c r="O425" t="s">
        <v>31</v>
      </c>
    </row>
    <row r="426" spans="1:15" x14ac:dyDescent="0.25">
      <c r="A426" t="s">
        <v>496</v>
      </c>
      <c r="B426" s="1">
        <v>45901</v>
      </c>
      <c r="C426" t="s">
        <v>25</v>
      </c>
      <c r="D426" t="s">
        <v>61</v>
      </c>
      <c r="E426" t="s">
        <v>62</v>
      </c>
      <c r="F426" t="s">
        <v>63</v>
      </c>
      <c r="G426" t="s">
        <v>20</v>
      </c>
      <c r="H426" t="s">
        <v>68</v>
      </c>
      <c r="I426" t="s">
        <v>69</v>
      </c>
      <c r="J426">
        <v>8</v>
      </c>
      <c r="K426">
        <v>16656</v>
      </c>
      <c r="L426">
        <v>0</v>
      </c>
      <c r="M426">
        <v>133248</v>
      </c>
      <c r="N426">
        <v>17995.03</v>
      </c>
      <c r="O426" t="s">
        <v>42</v>
      </c>
    </row>
    <row r="427" spans="1:15" x14ac:dyDescent="0.25">
      <c r="A427" t="s">
        <v>497</v>
      </c>
      <c r="B427" s="1">
        <v>45676</v>
      </c>
      <c r="C427" t="s">
        <v>25</v>
      </c>
      <c r="D427" t="s">
        <v>61</v>
      </c>
      <c r="E427" t="s">
        <v>62</v>
      </c>
      <c r="F427" t="s">
        <v>19</v>
      </c>
      <c r="G427" t="s">
        <v>28</v>
      </c>
      <c r="H427" t="s">
        <v>40</v>
      </c>
      <c r="I427" t="s">
        <v>80</v>
      </c>
      <c r="J427">
        <v>2</v>
      </c>
      <c r="K427">
        <v>12063</v>
      </c>
      <c r="L427">
        <v>5</v>
      </c>
      <c r="M427">
        <v>22919.7</v>
      </c>
      <c r="N427">
        <v>3208.76</v>
      </c>
      <c r="O427" t="s">
        <v>34</v>
      </c>
    </row>
    <row r="428" spans="1:15" x14ac:dyDescent="0.25">
      <c r="A428" t="s">
        <v>498</v>
      </c>
      <c r="B428" s="1">
        <v>45741</v>
      </c>
      <c r="C428" t="s">
        <v>65</v>
      </c>
      <c r="D428" t="s">
        <v>82</v>
      </c>
      <c r="E428" t="s">
        <v>83</v>
      </c>
      <c r="F428" t="s">
        <v>72</v>
      </c>
      <c r="G428" t="s">
        <v>28</v>
      </c>
      <c r="H428" t="s">
        <v>40</v>
      </c>
      <c r="I428" t="s">
        <v>59</v>
      </c>
      <c r="J428">
        <v>4</v>
      </c>
      <c r="K428">
        <v>14460</v>
      </c>
      <c r="L428">
        <v>10</v>
      </c>
      <c r="M428">
        <v>52056</v>
      </c>
      <c r="N428">
        <v>4191.68</v>
      </c>
      <c r="O428" t="s">
        <v>23</v>
      </c>
    </row>
    <row r="429" spans="1:15" x14ac:dyDescent="0.25">
      <c r="A429" t="s">
        <v>499</v>
      </c>
      <c r="B429" s="1">
        <v>45955</v>
      </c>
      <c r="C429" t="s">
        <v>65</v>
      </c>
      <c r="D429" t="s">
        <v>82</v>
      </c>
      <c r="E429" t="s">
        <v>83</v>
      </c>
      <c r="F429" t="s">
        <v>63</v>
      </c>
      <c r="G429" t="s">
        <v>28</v>
      </c>
      <c r="H429" t="s">
        <v>40</v>
      </c>
      <c r="I429" t="s">
        <v>59</v>
      </c>
      <c r="J429">
        <v>7</v>
      </c>
      <c r="K429">
        <v>22875</v>
      </c>
      <c r="L429">
        <v>20</v>
      </c>
      <c r="M429">
        <v>128100</v>
      </c>
      <c r="N429">
        <v>17044.439999999999</v>
      </c>
      <c r="O429" t="s">
        <v>34</v>
      </c>
    </row>
    <row r="430" spans="1:15" x14ac:dyDescent="0.25">
      <c r="A430" t="s">
        <v>500</v>
      </c>
      <c r="B430" s="1">
        <v>45799</v>
      </c>
      <c r="C430" t="s">
        <v>65</v>
      </c>
      <c r="D430" t="s">
        <v>82</v>
      </c>
      <c r="E430" t="s">
        <v>83</v>
      </c>
      <c r="F430" t="s">
        <v>33</v>
      </c>
      <c r="G430" t="s">
        <v>28</v>
      </c>
      <c r="H430" t="s">
        <v>40</v>
      </c>
      <c r="I430" t="s">
        <v>80</v>
      </c>
      <c r="J430">
        <v>9</v>
      </c>
      <c r="K430">
        <v>49854</v>
      </c>
      <c r="L430">
        <v>10</v>
      </c>
      <c r="M430">
        <v>403817.4</v>
      </c>
      <c r="N430">
        <v>68110.759999999995</v>
      </c>
      <c r="O430" t="s">
        <v>23</v>
      </c>
    </row>
    <row r="431" spans="1:15" x14ac:dyDescent="0.25">
      <c r="A431" t="s">
        <v>501</v>
      </c>
      <c r="B431" s="1">
        <v>45851</v>
      </c>
      <c r="C431" t="s">
        <v>16</v>
      </c>
      <c r="D431" t="s">
        <v>17</v>
      </c>
      <c r="E431" t="s">
        <v>18</v>
      </c>
      <c r="F431" t="s">
        <v>93</v>
      </c>
      <c r="G431" t="s">
        <v>20</v>
      </c>
      <c r="H431" t="s">
        <v>68</v>
      </c>
      <c r="I431" t="s">
        <v>69</v>
      </c>
      <c r="J431">
        <v>7</v>
      </c>
      <c r="K431">
        <v>15968</v>
      </c>
      <c r="L431">
        <v>5</v>
      </c>
      <c r="M431">
        <v>106187.2</v>
      </c>
      <c r="N431">
        <v>11351.48</v>
      </c>
      <c r="O431" t="s">
        <v>42</v>
      </c>
    </row>
    <row r="432" spans="1:15" x14ac:dyDescent="0.25">
      <c r="A432" t="s">
        <v>502</v>
      </c>
      <c r="B432" s="1">
        <v>45692</v>
      </c>
      <c r="C432" t="s">
        <v>25</v>
      </c>
      <c r="D432" t="s">
        <v>26</v>
      </c>
      <c r="E432" t="s">
        <v>27</v>
      </c>
      <c r="F432" t="s">
        <v>72</v>
      </c>
      <c r="G432" t="s">
        <v>28</v>
      </c>
      <c r="H432" t="s">
        <v>21</v>
      </c>
      <c r="I432" t="s">
        <v>56</v>
      </c>
      <c r="J432">
        <v>7</v>
      </c>
      <c r="K432">
        <v>2720</v>
      </c>
      <c r="L432">
        <v>0</v>
      </c>
      <c r="M432">
        <v>19040</v>
      </c>
      <c r="N432">
        <v>3599.55</v>
      </c>
      <c r="O432" t="s">
        <v>34</v>
      </c>
    </row>
    <row r="433" spans="1:15" x14ac:dyDescent="0.25">
      <c r="A433" t="s">
        <v>503</v>
      </c>
      <c r="B433" s="1">
        <v>45929</v>
      </c>
      <c r="C433" t="s">
        <v>25</v>
      </c>
      <c r="D433" t="s">
        <v>61</v>
      </c>
      <c r="E433" t="s">
        <v>62</v>
      </c>
      <c r="F433" t="s">
        <v>33</v>
      </c>
      <c r="G433" t="s">
        <v>20</v>
      </c>
      <c r="H433" t="s">
        <v>40</v>
      </c>
      <c r="I433" t="s">
        <v>41</v>
      </c>
      <c r="J433">
        <v>1</v>
      </c>
      <c r="K433">
        <v>31003</v>
      </c>
      <c r="L433">
        <v>0</v>
      </c>
      <c r="M433">
        <v>31003</v>
      </c>
      <c r="N433">
        <v>2914.21</v>
      </c>
      <c r="O433" t="s">
        <v>23</v>
      </c>
    </row>
    <row r="434" spans="1:15" x14ac:dyDescent="0.25">
      <c r="A434" t="s">
        <v>504</v>
      </c>
      <c r="B434" s="1">
        <v>45990</v>
      </c>
      <c r="C434" t="s">
        <v>36</v>
      </c>
      <c r="D434" t="s">
        <v>37</v>
      </c>
      <c r="E434" t="s">
        <v>38</v>
      </c>
      <c r="F434" t="s">
        <v>63</v>
      </c>
      <c r="G434" t="s">
        <v>20</v>
      </c>
      <c r="H434" t="s">
        <v>68</v>
      </c>
      <c r="I434" t="s">
        <v>90</v>
      </c>
      <c r="J434">
        <v>4</v>
      </c>
      <c r="K434">
        <v>75121</v>
      </c>
      <c r="L434">
        <v>10</v>
      </c>
      <c r="M434">
        <v>270435.59999999998</v>
      </c>
      <c r="N434">
        <v>67217.679999999993</v>
      </c>
      <c r="O434" t="s">
        <v>42</v>
      </c>
    </row>
    <row r="435" spans="1:15" x14ac:dyDescent="0.25">
      <c r="A435" t="s">
        <v>505</v>
      </c>
      <c r="B435" s="1">
        <v>45797</v>
      </c>
      <c r="C435" t="s">
        <v>16</v>
      </c>
      <c r="D435" t="s">
        <v>17</v>
      </c>
      <c r="E435" t="s">
        <v>18</v>
      </c>
      <c r="F435" t="s">
        <v>72</v>
      </c>
      <c r="G435" t="s">
        <v>28</v>
      </c>
      <c r="H435" t="s">
        <v>77</v>
      </c>
      <c r="I435" t="s">
        <v>78</v>
      </c>
      <c r="J435">
        <v>5</v>
      </c>
      <c r="K435">
        <v>74592</v>
      </c>
      <c r="L435">
        <v>0</v>
      </c>
      <c r="M435">
        <v>372960</v>
      </c>
      <c r="N435">
        <v>79778.98</v>
      </c>
      <c r="O435" t="s">
        <v>42</v>
      </c>
    </row>
    <row r="436" spans="1:15" x14ac:dyDescent="0.25">
      <c r="A436" t="s">
        <v>506</v>
      </c>
      <c r="B436" s="1">
        <v>45911</v>
      </c>
      <c r="C436" t="s">
        <v>16</v>
      </c>
      <c r="D436" t="s">
        <v>17</v>
      </c>
      <c r="E436" t="s">
        <v>18</v>
      </c>
      <c r="F436" t="s">
        <v>47</v>
      </c>
      <c r="G436" t="s">
        <v>28</v>
      </c>
      <c r="H436" t="s">
        <v>40</v>
      </c>
      <c r="I436" t="s">
        <v>59</v>
      </c>
      <c r="J436">
        <v>2</v>
      </c>
      <c r="K436">
        <v>54701</v>
      </c>
      <c r="L436">
        <v>5</v>
      </c>
      <c r="M436">
        <v>103931.9</v>
      </c>
      <c r="N436">
        <v>15414.61</v>
      </c>
      <c r="O436" t="s">
        <v>34</v>
      </c>
    </row>
    <row r="437" spans="1:15" x14ac:dyDescent="0.25">
      <c r="A437" t="s">
        <v>507</v>
      </c>
      <c r="B437" s="1">
        <v>45689</v>
      </c>
      <c r="C437" t="s">
        <v>65</v>
      </c>
      <c r="D437" t="s">
        <v>66</v>
      </c>
      <c r="E437" t="s">
        <v>67</v>
      </c>
      <c r="F437" t="s">
        <v>93</v>
      </c>
      <c r="G437" t="s">
        <v>28</v>
      </c>
      <c r="H437" t="s">
        <v>77</v>
      </c>
      <c r="I437" t="s">
        <v>78</v>
      </c>
      <c r="J437">
        <v>1</v>
      </c>
      <c r="K437">
        <v>41686</v>
      </c>
      <c r="L437">
        <v>15</v>
      </c>
      <c r="M437">
        <v>35433.1</v>
      </c>
      <c r="N437">
        <v>8608.59</v>
      </c>
      <c r="O437" t="s">
        <v>34</v>
      </c>
    </row>
    <row r="438" spans="1:15" x14ac:dyDescent="0.25">
      <c r="A438" t="s">
        <v>508</v>
      </c>
      <c r="B438" s="1">
        <v>45943</v>
      </c>
      <c r="C438" t="s">
        <v>16</v>
      </c>
      <c r="D438" t="s">
        <v>44</v>
      </c>
      <c r="E438" t="s">
        <v>44</v>
      </c>
      <c r="F438" t="s">
        <v>19</v>
      </c>
      <c r="G438" t="s">
        <v>20</v>
      </c>
      <c r="H438" t="s">
        <v>21</v>
      </c>
      <c r="I438" t="s">
        <v>56</v>
      </c>
      <c r="J438">
        <v>8</v>
      </c>
      <c r="K438">
        <v>72406</v>
      </c>
      <c r="L438">
        <v>10</v>
      </c>
      <c r="M438">
        <v>521323.2</v>
      </c>
      <c r="N438">
        <v>98174.41</v>
      </c>
      <c r="O438" t="s">
        <v>31</v>
      </c>
    </row>
    <row r="439" spans="1:15" x14ac:dyDescent="0.25">
      <c r="A439" t="s">
        <v>509</v>
      </c>
      <c r="B439" s="1">
        <v>45883</v>
      </c>
      <c r="C439" t="s">
        <v>16</v>
      </c>
      <c r="D439" t="s">
        <v>17</v>
      </c>
      <c r="E439" t="s">
        <v>18</v>
      </c>
      <c r="F439" t="s">
        <v>39</v>
      </c>
      <c r="G439" t="s">
        <v>28</v>
      </c>
      <c r="H439" t="s">
        <v>68</v>
      </c>
      <c r="I439" t="s">
        <v>69</v>
      </c>
      <c r="J439">
        <v>9</v>
      </c>
      <c r="K439">
        <v>49765</v>
      </c>
      <c r="L439">
        <v>0</v>
      </c>
      <c r="M439">
        <v>447885</v>
      </c>
      <c r="N439">
        <v>64462.8</v>
      </c>
      <c r="O439" t="s">
        <v>42</v>
      </c>
    </row>
    <row r="440" spans="1:15" x14ac:dyDescent="0.25">
      <c r="A440" t="s">
        <v>510</v>
      </c>
      <c r="B440" s="1">
        <v>45684</v>
      </c>
      <c r="C440" t="s">
        <v>65</v>
      </c>
      <c r="D440" t="s">
        <v>82</v>
      </c>
      <c r="E440" t="s">
        <v>83</v>
      </c>
      <c r="F440" t="s">
        <v>93</v>
      </c>
      <c r="G440" t="s">
        <v>20</v>
      </c>
      <c r="H440" t="s">
        <v>21</v>
      </c>
      <c r="I440" t="s">
        <v>45</v>
      </c>
      <c r="J440">
        <v>8</v>
      </c>
      <c r="K440">
        <v>66925</v>
      </c>
      <c r="L440">
        <v>0</v>
      </c>
      <c r="M440">
        <v>535400</v>
      </c>
      <c r="N440">
        <v>65144.14</v>
      </c>
      <c r="O440" t="s">
        <v>42</v>
      </c>
    </row>
    <row r="441" spans="1:15" x14ac:dyDescent="0.25">
      <c r="A441" t="s">
        <v>511</v>
      </c>
      <c r="B441" s="1">
        <v>45852</v>
      </c>
      <c r="C441" t="s">
        <v>16</v>
      </c>
      <c r="D441" t="s">
        <v>44</v>
      </c>
      <c r="E441" t="s">
        <v>44</v>
      </c>
      <c r="F441" t="s">
        <v>72</v>
      </c>
      <c r="G441" t="s">
        <v>20</v>
      </c>
      <c r="H441" t="s">
        <v>68</v>
      </c>
      <c r="I441" t="s">
        <v>94</v>
      </c>
      <c r="J441">
        <v>1</v>
      </c>
      <c r="K441">
        <v>72423</v>
      </c>
      <c r="L441">
        <v>10</v>
      </c>
      <c r="M441">
        <v>65180.7</v>
      </c>
      <c r="N441">
        <v>9462.3700000000008</v>
      </c>
      <c r="O441" t="s">
        <v>34</v>
      </c>
    </row>
    <row r="442" spans="1:15" x14ac:dyDescent="0.25">
      <c r="A442" t="s">
        <v>512</v>
      </c>
      <c r="B442" s="1">
        <v>45800</v>
      </c>
      <c r="C442" t="s">
        <v>65</v>
      </c>
      <c r="D442" t="s">
        <v>66</v>
      </c>
      <c r="E442" t="s">
        <v>67</v>
      </c>
      <c r="F442" t="s">
        <v>93</v>
      </c>
      <c r="G442" t="s">
        <v>28</v>
      </c>
      <c r="H442" t="s">
        <v>29</v>
      </c>
      <c r="I442" t="s">
        <v>30</v>
      </c>
      <c r="J442">
        <v>1</v>
      </c>
      <c r="K442">
        <v>41341</v>
      </c>
      <c r="L442">
        <v>5</v>
      </c>
      <c r="M442">
        <v>39273.949999999997</v>
      </c>
      <c r="N442">
        <v>5707.74</v>
      </c>
      <c r="O442" t="s">
        <v>34</v>
      </c>
    </row>
    <row r="443" spans="1:15" x14ac:dyDescent="0.25">
      <c r="A443" t="s">
        <v>513</v>
      </c>
      <c r="B443" s="1">
        <v>45862</v>
      </c>
      <c r="C443" t="s">
        <v>25</v>
      </c>
      <c r="D443" t="s">
        <v>61</v>
      </c>
      <c r="E443" t="s">
        <v>62</v>
      </c>
      <c r="F443" t="s">
        <v>72</v>
      </c>
      <c r="G443" t="s">
        <v>28</v>
      </c>
      <c r="H443" t="s">
        <v>40</v>
      </c>
      <c r="I443" t="s">
        <v>59</v>
      </c>
      <c r="J443">
        <v>8</v>
      </c>
      <c r="K443">
        <v>20129</v>
      </c>
      <c r="L443">
        <v>15</v>
      </c>
      <c r="M443">
        <v>136877.20000000001</v>
      </c>
      <c r="N443">
        <v>33431.19</v>
      </c>
      <c r="O443" t="s">
        <v>42</v>
      </c>
    </row>
    <row r="444" spans="1:15" x14ac:dyDescent="0.25">
      <c r="A444" t="s">
        <v>514</v>
      </c>
      <c r="B444" s="1">
        <v>45876</v>
      </c>
      <c r="C444" t="s">
        <v>16</v>
      </c>
      <c r="D444" t="s">
        <v>17</v>
      </c>
      <c r="E444" t="s">
        <v>18</v>
      </c>
      <c r="F444" t="s">
        <v>19</v>
      </c>
      <c r="G444" t="s">
        <v>28</v>
      </c>
      <c r="H444" t="s">
        <v>21</v>
      </c>
      <c r="I444" t="s">
        <v>45</v>
      </c>
      <c r="J444">
        <v>5</v>
      </c>
      <c r="K444">
        <v>71553</v>
      </c>
      <c r="L444">
        <v>10</v>
      </c>
      <c r="M444">
        <v>321988.5</v>
      </c>
      <c r="N444">
        <v>32025.85</v>
      </c>
      <c r="O444" t="s">
        <v>23</v>
      </c>
    </row>
    <row r="445" spans="1:15" x14ac:dyDescent="0.25">
      <c r="A445" t="s">
        <v>515</v>
      </c>
      <c r="B445" s="1">
        <v>45976</v>
      </c>
      <c r="C445" t="s">
        <v>36</v>
      </c>
      <c r="D445" t="s">
        <v>85</v>
      </c>
      <c r="E445" t="s">
        <v>86</v>
      </c>
      <c r="F445" t="s">
        <v>52</v>
      </c>
      <c r="G445" t="s">
        <v>28</v>
      </c>
      <c r="H445" t="s">
        <v>29</v>
      </c>
      <c r="I445" t="s">
        <v>48</v>
      </c>
      <c r="J445">
        <v>3</v>
      </c>
      <c r="K445">
        <v>52600</v>
      </c>
      <c r="L445">
        <v>0</v>
      </c>
      <c r="M445">
        <v>157800</v>
      </c>
      <c r="N445">
        <v>38384.629999999997</v>
      </c>
      <c r="O445" t="s">
        <v>31</v>
      </c>
    </row>
    <row r="446" spans="1:15" x14ac:dyDescent="0.25">
      <c r="A446" t="s">
        <v>516</v>
      </c>
      <c r="B446" s="1">
        <v>45745</v>
      </c>
      <c r="C446" t="s">
        <v>65</v>
      </c>
      <c r="D446" t="s">
        <v>66</v>
      </c>
      <c r="E446" t="s">
        <v>67</v>
      </c>
      <c r="F446" t="s">
        <v>63</v>
      </c>
      <c r="G446" t="s">
        <v>20</v>
      </c>
      <c r="H446" t="s">
        <v>21</v>
      </c>
      <c r="I446" t="s">
        <v>56</v>
      </c>
      <c r="J446">
        <v>4</v>
      </c>
      <c r="K446">
        <v>3717</v>
      </c>
      <c r="L446">
        <v>0</v>
      </c>
      <c r="M446">
        <v>14868</v>
      </c>
      <c r="N446">
        <v>2146.1</v>
      </c>
      <c r="O446" t="s">
        <v>23</v>
      </c>
    </row>
    <row r="447" spans="1:15" x14ac:dyDescent="0.25">
      <c r="A447" t="s">
        <v>517</v>
      </c>
      <c r="B447" s="1">
        <v>45907</v>
      </c>
      <c r="C447" t="s">
        <v>65</v>
      </c>
      <c r="D447" t="s">
        <v>82</v>
      </c>
      <c r="E447" t="s">
        <v>83</v>
      </c>
      <c r="F447" t="s">
        <v>93</v>
      </c>
      <c r="G447" t="s">
        <v>28</v>
      </c>
      <c r="H447" t="s">
        <v>40</v>
      </c>
      <c r="I447" t="s">
        <v>80</v>
      </c>
      <c r="J447">
        <v>4</v>
      </c>
      <c r="K447">
        <v>61820</v>
      </c>
      <c r="L447">
        <v>10</v>
      </c>
      <c r="M447">
        <v>222552</v>
      </c>
      <c r="N447">
        <v>38863.050000000003</v>
      </c>
      <c r="O447" t="s">
        <v>23</v>
      </c>
    </row>
    <row r="448" spans="1:15" x14ac:dyDescent="0.25">
      <c r="A448" t="s">
        <v>518</v>
      </c>
      <c r="B448" s="1">
        <v>45824</v>
      </c>
      <c r="C448" t="s">
        <v>25</v>
      </c>
      <c r="D448" t="s">
        <v>26</v>
      </c>
      <c r="E448" t="s">
        <v>27</v>
      </c>
      <c r="F448" t="s">
        <v>63</v>
      </c>
      <c r="G448" t="s">
        <v>20</v>
      </c>
      <c r="H448" t="s">
        <v>29</v>
      </c>
      <c r="I448" t="s">
        <v>30</v>
      </c>
      <c r="J448">
        <v>3</v>
      </c>
      <c r="K448">
        <v>47431</v>
      </c>
      <c r="L448">
        <v>20</v>
      </c>
      <c r="M448">
        <v>113834.4</v>
      </c>
      <c r="N448">
        <v>13471.65</v>
      </c>
      <c r="O448" t="s">
        <v>23</v>
      </c>
    </row>
    <row r="449" spans="1:15" x14ac:dyDescent="0.25">
      <c r="A449" t="s">
        <v>519</v>
      </c>
      <c r="B449" s="1">
        <v>45895</v>
      </c>
      <c r="C449" t="s">
        <v>16</v>
      </c>
      <c r="D449" t="s">
        <v>106</v>
      </c>
      <c r="E449" t="s">
        <v>107</v>
      </c>
      <c r="F449" t="s">
        <v>63</v>
      </c>
      <c r="G449" t="s">
        <v>20</v>
      </c>
      <c r="H449" t="s">
        <v>77</v>
      </c>
      <c r="I449" t="s">
        <v>88</v>
      </c>
      <c r="J449">
        <v>9</v>
      </c>
      <c r="K449">
        <v>35420</v>
      </c>
      <c r="L449">
        <v>15</v>
      </c>
      <c r="M449">
        <v>270963</v>
      </c>
      <c r="N449">
        <v>32968.639999999999</v>
      </c>
      <c r="O449" t="s">
        <v>23</v>
      </c>
    </row>
    <row r="450" spans="1:15" x14ac:dyDescent="0.25">
      <c r="A450" t="s">
        <v>520</v>
      </c>
      <c r="B450" s="1">
        <v>45957</v>
      </c>
      <c r="C450" t="s">
        <v>36</v>
      </c>
      <c r="D450" t="s">
        <v>37</v>
      </c>
      <c r="E450" t="s">
        <v>38</v>
      </c>
      <c r="F450" t="s">
        <v>33</v>
      </c>
      <c r="G450" t="s">
        <v>28</v>
      </c>
      <c r="H450" t="s">
        <v>21</v>
      </c>
      <c r="I450" t="s">
        <v>56</v>
      </c>
      <c r="J450">
        <v>2</v>
      </c>
      <c r="K450">
        <v>21967</v>
      </c>
      <c r="L450">
        <v>0</v>
      </c>
      <c r="M450">
        <v>43934</v>
      </c>
      <c r="N450">
        <v>9079.6</v>
      </c>
      <c r="O450" t="s">
        <v>23</v>
      </c>
    </row>
    <row r="451" spans="1:15" x14ac:dyDescent="0.25">
      <c r="A451" t="s">
        <v>521</v>
      </c>
      <c r="B451" s="1">
        <v>45904</v>
      </c>
      <c r="C451" t="s">
        <v>36</v>
      </c>
      <c r="D451" t="s">
        <v>85</v>
      </c>
      <c r="E451" t="s">
        <v>86</v>
      </c>
      <c r="F451" t="s">
        <v>72</v>
      </c>
      <c r="G451" t="s">
        <v>28</v>
      </c>
      <c r="H451" t="s">
        <v>77</v>
      </c>
      <c r="I451" t="s">
        <v>78</v>
      </c>
      <c r="J451">
        <v>6</v>
      </c>
      <c r="K451">
        <v>14411</v>
      </c>
      <c r="L451">
        <v>10</v>
      </c>
      <c r="M451">
        <v>77819.399999999994</v>
      </c>
      <c r="N451">
        <v>17147.22</v>
      </c>
      <c r="O451" t="s">
        <v>42</v>
      </c>
    </row>
    <row r="452" spans="1:15" x14ac:dyDescent="0.25">
      <c r="A452" t="s">
        <v>522</v>
      </c>
      <c r="B452" s="1">
        <v>45779</v>
      </c>
      <c r="C452" t="s">
        <v>65</v>
      </c>
      <c r="D452" t="s">
        <v>66</v>
      </c>
      <c r="E452" t="s">
        <v>67</v>
      </c>
      <c r="F452" t="s">
        <v>52</v>
      </c>
      <c r="G452" t="s">
        <v>28</v>
      </c>
      <c r="H452" t="s">
        <v>68</v>
      </c>
      <c r="I452" t="s">
        <v>94</v>
      </c>
      <c r="J452">
        <v>9</v>
      </c>
      <c r="K452">
        <v>13952</v>
      </c>
      <c r="L452">
        <v>5</v>
      </c>
      <c r="M452">
        <v>119289.60000000001</v>
      </c>
      <c r="N452">
        <v>10692.6</v>
      </c>
      <c r="O452" t="s">
        <v>42</v>
      </c>
    </row>
    <row r="453" spans="1:15" x14ac:dyDescent="0.25">
      <c r="A453" t="s">
        <v>523</v>
      </c>
      <c r="B453" s="1">
        <v>45660</v>
      </c>
      <c r="C453" t="s">
        <v>65</v>
      </c>
      <c r="D453" t="s">
        <v>66</v>
      </c>
      <c r="E453" t="s">
        <v>67</v>
      </c>
      <c r="F453" t="s">
        <v>93</v>
      </c>
      <c r="G453" t="s">
        <v>28</v>
      </c>
      <c r="H453" t="s">
        <v>29</v>
      </c>
      <c r="I453" t="s">
        <v>53</v>
      </c>
      <c r="J453">
        <v>2</v>
      </c>
      <c r="K453">
        <v>32367</v>
      </c>
      <c r="L453">
        <v>20</v>
      </c>
      <c r="M453">
        <v>51787.199999999997</v>
      </c>
      <c r="N453">
        <v>7087.15</v>
      </c>
      <c r="O453" t="s">
        <v>31</v>
      </c>
    </row>
    <row r="454" spans="1:15" x14ac:dyDescent="0.25">
      <c r="A454" t="s">
        <v>524</v>
      </c>
      <c r="B454" s="1">
        <v>45659</v>
      </c>
      <c r="C454" t="s">
        <v>65</v>
      </c>
      <c r="D454" t="s">
        <v>66</v>
      </c>
      <c r="E454" t="s">
        <v>67</v>
      </c>
      <c r="F454" t="s">
        <v>52</v>
      </c>
      <c r="G454" t="s">
        <v>20</v>
      </c>
      <c r="H454" t="s">
        <v>40</v>
      </c>
      <c r="I454" t="s">
        <v>80</v>
      </c>
      <c r="J454">
        <v>4</v>
      </c>
      <c r="K454">
        <v>38179</v>
      </c>
      <c r="L454">
        <v>5</v>
      </c>
      <c r="M454">
        <v>145080.20000000001</v>
      </c>
      <c r="N454">
        <v>14606.29</v>
      </c>
      <c r="O454" t="s">
        <v>42</v>
      </c>
    </row>
    <row r="455" spans="1:15" x14ac:dyDescent="0.25">
      <c r="A455" t="s">
        <v>525</v>
      </c>
      <c r="B455" s="1">
        <v>45928</v>
      </c>
      <c r="C455" t="s">
        <v>25</v>
      </c>
      <c r="D455" t="s">
        <v>61</v>
      </c>
      <c r="E455" t="s">
        <v>62</v>
      </c>
      <c r="F455" t="s">
        <v>52</v>
      </c>
      <c r="G455" t="s">
        <v>20</v>
      </c>
      <c r="H455" t="s">
        <v>40</v>
      </c>
      <c r="I455" t="s">
        <v>80</v>
      </c>
      <c r="J455">
        <v>7</v>
      </c>
      <c r="K455">
        <v>58751</v>
      </c>
      <c r="L455">
        <v>20</v>
      </c>
      <c r="M455">
        <v>329005.59999999998</v>
      </c>
      <c r="N455">
        <v>52872.21</v>
      </c>
      <c r="O455" t="s">
        <v>23</v>
      </c>
    </row>
    <row r="456" spans="1:15" x14ac:dyDescent="0.25">
      <c r="A456" t="s">
        <v>526</v>
      </c>
      <c r="B456" s="1">
        <v>45948</v>
      </c>
      <c r="C456" t="s">
        <v>36</v>
      </c>
      <c r="D456" t="s">
        <v>37</v>
      </c>
      <c r="E456" t="s">
        <v>38</v>
      </c>
      <c r="F456" t="s">
        <v>33</v>
      </c>
      <c r="G456" t="s">
        <v>28</v>
      </c>
      <c r="H456" t="s">
        <v>29</v>
      </c>
      <c r="I456" t="s">
        <v>48</v>
      </c>
      <c r="J456">
        <v>10</v>
      </c>
      <c r="K456">
        <v>6833</v>
      </c>
      <c r="L456">
        <v>15</v>
      </c>
      <c r="M456">
        <v>58080.5</v>
      </c>
      <c r="N456">
        <v>4953.1000000000004</v>
      </c>
      <c r="O456" t="s">
        <v>34</v>
      </c>
    </row>
    <row r="457" spans="1:15" x14ac:dyDescent="0.25">
      <c r="A457" t="s">
        <v>527</v>
      </c>
      <c r="B457" s="1">
        <v>45767</v>
      </c>
      <c r="C457" t="s">
        <v>36</v>
      </c>
      <c r="D457" t="s">
        <v>50</v>
      </c>
      <c r="E457" t="s">
        <v>51</v>
      </c>
      <c r="F457" t="s">
        <v>39</v>
      </c>
      <c r="G457" t="s">
        <v>28</v>
      </c>
      <c r="H457" t="s">
        <v>21</v>
      </c>
      <c r="I457" t="s">
        <v>56</v>
      </c>
      <c r="J457">
        <v>2</v>
      </c>
      <c r="K457">
        <v>30748</v>
      </c>
      <c r="L457">
        <v>5</v>
      </c>
      <c r="M457">
        <v>58421.2</v>
      </c>
      <c r="N457">
        <v>11454.95</v>
      </c>
      <c r="O457" t="s">
        <v>31</v>
      </c>
    </row>
    <row r="458" spans="1:15" x14ac:dyDescent="0.25">
      <c r="A458" t="s">
        <v>528</v>
      </c>
      <c r="B458" s="1">
        <v>45842</v>
      </c>
      <c r="C458" t="s">
        <v>36</v>
      </c>
      <c r="D458" t="s">
        <v>85</v>
      </c>
      <c r="E458" t="s">
        <v>86</v>
      </c>
      <c r="F458" t="s">
        <v>19</v>
      </c>
      <c r="G458" t="s">
        <v>28</v>
      </c>
      <c r="H458" t="s">
        <v>77</v>
      </c>
      <c r="I458" t="s">
        <v>100</v>
      </c>
      <c r="J458">
        <v>3</v>
      </c>
      <c r="K458">
        <v>69228</v>
      </c>
      <c r="L458">
        <v>15</v>
      </c>
      <c r="M458">
        <v>176531.4</v>
      </c>
      <c r="N458">
        <v>35749.589999999997</v>
      </c>
      <c r="O458" t="s">
        <v>34</v>
      </c>
    </row>
    <row r="459" spans="1:15" x14ac:dyDescent="0.25">
      <c r="A459" t="s">
        <v>529</v>
      </c>
      <c r="B459" s="1">
        <v>45970</v>
      </c>
      <c r="C459" t="s">
        <v>36</v>
      </c>
      <c r="D459" t="s">
        <v>50</v>
      </c>
      <c r="E459" t="s">
        <v>51</v>
      </c>
      <c r="F459" t="s">
        <v>72</v>
      </c>
      <c r="G459" t="s">
        <v>20</v>
      </c>
      <c r="H459" t="s">
        <v>40</v>
      </c>
      <c r="I459" t="s">
        <v>80</v>
      </c>
      <c r="J459">
        <v>9</v>
      </c>
      <c r="K459">
        <v>64686</v>
      </c>
      <c r="L459">
        <v>15</v>
      </c>
      <c r="M459">
        <v>494847.9</v>
      </c>
      <c r="N459">
        <v>50020.42</v>
      </c>
      <c r="O459" t="s">
        <v>23</v>
      </c>
    </row>
    <row r="460" spans="1:15" x14ac:dyDescent="0.25">
      <c r="A460" t="s">
        <v>530</v>
      </c>
      <c r="B460" s="1">
        <v>45882</v>
      </c>
      <c r="C460" t="s">
        <v>25</v>
      </c>
      <c r="D460" t="s">
        <v>61</v>
      </c>
      <c r="E460" t="s">
        <v>62</v>
      </c>
      <c r="F460" t="s">
        <v>72</v>
      </c>
      <c r="G460" t="s">
        <v>20</v>
      </c>
      <c r="H460" t="s">
        <v>40</v>
      </c>
      <c r="I460" t="s">
        <v>59</v>
      </c>
      <c r="J460">
        <v>2</v>
      </c>
      <c r="K460">
        <v>28571</v>
      </c>
      <c r="L460">
        <v>5</v>
      </c>
      <c r="M460">
        <v>54284.9</v>
      </c>
      <c r="N460">
        <v>10602.6</v>
      </c>
      <c r="O460" t="s">
        <v>31</v>
      </c>
    </row>
    <row r="461" spans="1:15" x14ac:dyDescent="0.25">
      <c r="A461" t="s">
        <v>531</v>
      </c>
      <c r="B461" s="1">
        <v>45846</v>
      </c>
      <c r="C461" t="s">
        <v>16</v>
      </c>
      <c r="D461" t="s">
        <v>44</v>
      </c>
      <c r="E461" t="s">
        <v>44</v>
      </c>
      <c r="F461" t="s">
        <v>39</v>
      </c>
      <c r="G461" t="s">
        <v>28</v>
      </c>
      <c r="H461" t="s">
        <v>77</v>
      </c>
      <c r="I461" t="s">
        <v>100</v>
      </c>
      <c r="J461">
        <v>1</v>
      </c>
      <c r="K461">
        <v>18540</v>
      </c>
      <c r="L461">
        <v>15</v>
      </c>
      <c r="M461">
        <v>15759</v>
      </c>
      <c r="N461">
        <v>2104.0300000000002</v>
      </c>
      <c r="O461" t="s">
        <v>34</v>
      </c>
    </row>
    <row r="462" spans="1:15" x14ac:dyDescent="0.25">
      <c r="A462" t="s">
        <v>532</v>
      </c>
      <c r="B462" s="1">
        <v>45742</v>
      </c>
      <c r="C462" t="s">
        <v>36</v>
      </c>
      <c r="D462" t="s">
        <v>50</v>
      </c>
      <c r="E462" t="s">
        <v>51</v>
      </c>
      <c r="F462" t="s">
        <v>93</v>
      </c>
      <c r="G462" t="s">
        <v>28</v>
      </c>
      <c r="H462" t="s">
        <v>77</v>
      </c>
      <c r="I462" t="s">
        <v>78</v>
      </c>
      <c r="J462">
        <v>6</v>
      </c>
      <c r="K462">
        <v>21781</v>
      </c>
      <c r="L462">
        <v>20</v>
      </c>
      <c r="M462">
        <v>104548.8</v>
      </c>
      <c r="N462">
        <v>11824.42</v>
      </c>
      <c r="O462" t="s">
        <v>34</v>
      </c>
    </row>
    <row r="463" spans="1:15" x14ac:dyDescent="0.25">
      <c r="A463" t="s">
        <v>533</v>
      </c>
      <c r="B463" s="1">
        <v>45790</v>
      </c>
      <c r="C463" t="s">
        <v>65</v>
      </c>
      <c r="D463" t="s">
        <v>66</v>
      </c>
      <c r="E463" t="s">
        <v>67</v>
      </c>
      <c r="F463" t="s">
        <v>47</v>
      </c>
      <c r="G463" t="s">
        <v>28</v>
      </c>
      <c r="H463" t="s">
        <v>77</v>
      </c>
      <c r="I463" t="s">
        <v>78</v>
      </c>
      <c r="J463">
        <v>8</v>
      </c>
      <c r="K463">
        <v>68061</v>
      </c>
      <c r="L463">
        <v>15</v>
      </c>
      <c r="M463">
        <v>462814.8</v>
      </c>
      <c r="N463">
        <v>65925.740000000005</v>
      </c>
      <c r="O463" t="s">
        <v>34</v>
      </c>
    </row>
    <row r="464" spans="1:15" x14ac:dyDescent="0.25">
      <c r="A464" t="s">
        <v>534</v>
      </c>
      <c r="B464" s="1">
        <v>45749</v>
      </c>
      <c r="C464" t="s">
        <v>36</v>
      </c>
      <c r="D464" t="s">
        <v>50</v>
      </c>
      <c r="E464" t="s">
        <v>51</v>
      </c>
      <c r="F464" t="s">
        <v>19</v>
      </c>
      <c r="G464" t="s">
        <v>28</v>
      </c>
      <c r="H464" t="s">
        <v>21</v>
      </c>
      <c r="I464" t="s">
        <v>56</v>
      </c>
      <c r="J464">
        <v>6</v>
      </c>
      <c r="K464">
        <v>59663</v>
      </c>
      <c r="L464">
        <v>15</v>
      </c>
      <c r="M464">
        <v>304281.3</v>
      </c>
      <c r="N464">
        <v>42087.61</v>
      </c>
      <c r="O464" t="s">
        <v>42</v>
      </c>
    </row>
    <row r="465" spans="1:15" x14ac:dyDescent="0.25">
      <c r="A465" t="s">
        <v>535</v>
      </c>
      <c r="B465" s="1">
        <v>45701</v>
      </c>
      <c r="C465" t="s">
        <v>65</v>
      </c>
      <c r="D465" t="s">
        <v>82</v>
      </c>
      <c r="E465" t="s">
        <v>83</v>
      </c>
      <c r="F465" t="s">
        <v>52</v>
      </c>
      <c r="G465" t="s">
        <v>28</v>
      </c>
      <c r="H465" t="s">
        <v>68</v>
      </c>
      <c r="I465" t="s">
        <v>90</v>
      </c>
      <c r="J465">
        <v>2</v>
      </c>
      <c r="K465">
        <v>69277</v>
      </c>
      <c r="L465">
        <v>10</v>
      </c>
      <c r="M465">
        <v>124698.6</v>
      </c>
      <c r="N465">
        <v>29933.79</v>
      </c>
      <c r="O465" t="s">
        <v>23</v>
      </c>
    </row>
    <row r="466" spans="1:15" x14ac:dyDescent="0.25">
      <c r="A466" t="s">
        <v>536</v>
      </c>
      <c r="B466" s="1">
        <v>45838</v>
      </c>
      <c r="C466" t="s">
        <v>36</v>
      </c>
      <c r="D466" t="s">
        <v>85</v>
      </c>
      <c r="E466" t="s">
        <v>86</v>
      </c>
      <c r="F466" t="s">
        <v>19</v>
      </c>
      <c r="G466" t="s">
        <v>28</v>
      </c>
      <c r="H466" t="s">
        <v>29</v>
      </c>
      <c r="I466" t="s">
        <v>30</v>
      </c>
      <c r="J466">
        <v>9</v>
      </c>
      <c r="K466">
        <v>13482</v>
      </c>
      <c r="L466">
        <v>20</v>
      </c>
      <c r="M466">
        <v>97070.399999999994</v>
      </c>
      <c r="N466">
        <v>16373.32</v>
      </c>
      <c r="O466" t="s">
        <v>42</v>
      </c>
    </row>
    <row r="467" spans="1:15" x14ac:dyDescent="0.25">
      <c r="A467" t="s">
        <v>537</v>
      </c>
      <c r="B467" s="1">
        <v>45981</v>
      </c>
      <c r="C467" t="s">
        <v>36</v>
      </c>
      <c r="D467" t="s">
        <v>85</v>
      </c>
      <c r="E467" t="s">
        <v>86</v>
      </c>
      <c r="F467" t="s">
        <v>93</v>
      </c>
      <c r="G467" t="s">
        <v>28</v>
      </c>
      <c r="H467" t="s">
        <v>77</v>
      </c>
      <c r="I467" t="s">
        <v>88</v>
      </c>
      <c r="J467">
        <v>8</v>
      </c>
      <c r="K467">
        <v>79952</v>
      </c>
      <c r="L467">
        <v>20</v>
      </c>
      <c r="M467">
        <v>511692.79999999999</v>
      </c>
      <c r="N467">
        <v>99909.47</v>
      </c>
      <c r="O467" t="s">
        <v>42</v>
      </c>
    </row>
    <row r="468" spans="1:15" x14ac:dyDescent="0.25">
      <c r="A468" t="s">
        <v>538</v>
      </c>
      <c r="B468" s="1">
        <v>45965</v>
      </c>
      <c r="C468" t="s">
        <v>65</v>
      </c>
      <c r="D468" t="s">
        <v>66</v>
      </c>
      <c r="E468" t="s">
        <v>67</v>
      </c>
      <c r="F468" t="s">
        <v>93</v>
      </c>
      <c r="G468" t="s">
        <v>20</v>
      </c>
      <c r="H468" t="s">
        <v>21</v>
      </c>
      <c r="I468" t="s">
        <v>56</v>
      </c>
      <c r="J468">
        <v>3</v>
      </c>
      <c r="K468">
        <v>73270</v>
      </c>
      <c r="L468">
        <v>20</v>
      </c>
      <c r="M468">
        <v>175848</v>
      </c>
      <c r="N468">
        <v>16425.88</v>
      </c>
      <c r="O468" t="s">
        <v>34</v>
      </c>
    </row>
    <row r="469" spans="1:15" x14ac:dyDescent="0.25">
      <c r="A469" t="s">
        <v>539</v>
      </c>
      <c r="B469" s="1">
        <v>45922</v>
      </c>
      <c r="C469" t="s">
        <v>25</v>
      </c>
      <c r="D469" t="s">
        <v>61</v>
      </c>
      <c r="E469" t="s">
        <v>62</v>
      </c>
      <c r="F469" t="s">
        <v>72</v>
      </c>
      <c r="G469" t="s">
        <v>28</v>
      </c>
      <c r="H469" t="s">
        <v>77</v>
      </c>
      <c r="I469" t="s">
        <v>100</v>
      </c>
      <c r="J469">
        <v>6</v>
      </c>
      <c r="K469">
        <v>41750</v>
      </c>
      <c r="L469">
        <v>5</v>
      </c>
      <c r="M469">
        <v>237975</v>
      </c>
      <c r="N469">
        <v>37859.870000000003</v>
      </c>
      <c r="O469" t="s">
        <v>42</v>
      </c>
    </row>
    <row r="470" spans="1:15" x14ac:dyDescent="0.25">
      <c r="A470" t="s">
        <v>540</v>
      </c>
      <c r="B470" s="1">
        <v>45831</v>
      </c>
      <c r="C470" t="s">
        <v>25</v>
      </c>
      <c r="D470" t="s">
        <v>61</v>
      </c>
      <c r="E470" t="s">
        <v>62</v>
      </c>
      <c r="F470" t="s">
        <v>52</v>
      </c>
      <c r="G470" t="s">
        <v>20</v>
      </c>
      <c r="H470" t="s">
        <v>68</v>
      </c>
      <c r="I470" t="s">
        <v>94</v>
      </c>
      <c r="J470">
        <v>1</v>
      </c>
      <c r="K470">
        <v>73730</v>
      </c>
      <c r="L470">
        <v>15</v>
      </c>
      <c r="M470">
        <v>62670.5</v>
      </c>
      <c r="N470">
        <v>12938.21</v>
      </c>
      <c r="O470" t="s">
        <v>42</v>
      </c>
    </row>
    <row r="471" spans="1:15" x14ac:dyDescent="0.25">
      <c r="A471" t="s">
        <v>541</v>
      </c>
      <c r="B471" s="1">
        <v>45939</v>
      </c>
      <c r="C471" t="s">
        <v>36</v>
      </c>
      <c r="D471" t="s">
        <v>37</v>
      </c>
      <c r="E471" t="s">
        <v>38</v>
      </c>
      <c r="F471" t="s">
        <v>39</v>
      </c>
      <c r="G471" t="s">
        <v>20</v>
      </c>
      <c r="H471" t="s">
        <v>29</v>
      </c>
      <c r="I471" t="s">
        <v>48</v>
      </c>
      <c r="J471">
        <v>10</v>
      </c>
      <c r="K471">
        <v>32407</v>
      </c>
      <c r="L471">
        <v>20</v>
      </c>
      <c r="M471">
        <v>259256</v>
      </c>
      <c r="N471">
        <v>35218.19</v>
      </c>
      <c r="O471" t="s">
        <v>34</v>
      </c>
    </row>
    <row r="472" spans="1:15" x14ac:dyDescent="0.25">
      <c r="A472" t="s">
        <v>542</v>
      </c>
      <c r="B472" s="1">
        <v>45769</v>
      </c>
      <c r="C472" t="s">
        <v>16</v>
      </c>
      <c r="D472" t="s">
        <v>17</v>
      </c>
      <c r="E472" t="s">
        <v>18</v>
      </c>
      <c r="F472" t="s">
        <v>33</v>
      </c>
      <c r="G472" t="s">
        <v>28</v>
      </c>
      <c r="H472" t="s">
        <v>40</v>
      </c>
      <c r="I472" t="s">
        <v>59</v>
      </c>
      <c r="J472">
        <v>4</v>
      </c>
      <c r="K472">
        <v>24123</v>
      </c>
      <c r="L472">
        <v>10</v>
      </c>
      <c r="M472">
        <v>86842.8</v>
      </c>
      <c r="N472">
        <v>11881.71</v>
      </c>
      <c r="O472" t="s">
        <v>42</v>
      </c>
    </row>
    <row r="473" spans="1:15" x14ac:dyDescent="0.25">
      <c r="A473" t="s">
        <v>543</v>
      </c>
      <c r="B473" s="1">
        <v>45962</v>
      </c>
      <c r="C473" t="s">
        <v>25</v>
      </c>
      <c r="D473" t="s">
        <v>26</v>
      </c>
      <c r="E473" t="s">
        <v>27</v>
      </c>
      <c r="F473" t="s">
        <v>47</v>
      </c>
      <c r="G473" t="s">
        <v>28</v>
      </c>
      <c r="H473" t="s">
        <v>21</v>
      </c>
      <c r="I473" t="s">
        <v>56</v>
      </c>
      <c r="J473">
        <v>5</v>
      </c>
      <c r="K473">
        <v>64891</v>
      </c>
      <c r="L473">
        <v>10</v>
      </c>
      <c r="M473">
        <v>292009.5</v>
      </c>
      <c r="N473">
        <v>60590.31</v>
      </c>
      <c r="O473" t="s">
        <v>34</v>
      </c>
    </row>
    <row r="474" spans="1:15" x14ac:dyDescent="0.25">
      <c r="A474" t="s">
        <v>544</v>
      </c>
      <c r="B474" s="1">
        <v>45691</v>
      </c>
      <c r="C474" t="s">
        <v>36</v>
      </c>
      <c r="D474" t="s">
        <v>85</v>
      </c>
      <c r="E474" t="s">
        <v>86</v>
      </c>
      <c r="F474" t="s">
        <v>63</v>
      </c>
      <c r="G474" t="s">
        <v>20</v>
      </c>
      <c r="H474" t="s">
        <v>29</v>
      </c>
      <c r="I474" t="s">
        <v>53</v>
      </c>
      <c r="J474">
        <v>4</v>
      </c>
      <c r="K474">
        <v>22145</v>
      </c>
      <c r="L474">
        <v>15</v>
      </c>
      <c r="M474">
        <v>75293</v>
      </c>
      <c r="N474">
        <v>11157.38</v>
      </c>
      <c r="O474" t="s">
        <v>31</v>
      </c>
    </row>
    <row r="475" spans="1:15" x14ac:dyDescent="0.25">
      <c r="A475" t="s">
        <v>545</v>
      </c>
      <c r="B475" s="1">
        <v>45897</v>
      </c>
      <c r="C475" t="s">
        <v>36</v>
      </c>
      <c r="D475" t="s">
        <v>50</v>
      </c>
      <c r="E475" t="s">
        <v>51</v>
      </c>
      <c r="F475" t="s">
        <v>39</v>
      </c>
      <c r="G475" t="s">
        <v>20</v>
      </c>
      <c r="H475" t="s">
        <v>29</v>
      </c>
      <c r="I475" t="s">
        <v>30</v>
      </c>
      <c r="J475">
        <v>2</v>
      </c>
      <c r="K475">
        <v>40480</v>
      </c>
      <c r="L475">
        <v>20</v>
      </c>
      <c r="M475">
        <v>64768</v>
      </c>
      <c r="N475">
        <v>11313.68</v>
      </c>
      <c r="O475" t="s">
        <v>34</v>
      </c>
    </row>
    <row r="476" spans="1:15" x14ac:dyDescent="0.25">
      <c r="A476" t="s">
        <v>546</v>
      </c>
      <c r="B476" s="1">
        <v>45981</v>
      </c>
      <c r="C476" t="s">
        <v>65</v>
      </c>
      <c r="D476" t="s">
        <v>66</v>
      </c>
      <c r="E476" t="s">
        <v>67</v>
      </c>
      <c r="F476" t="s">
        <v>47</v>
      </c>
      <c r="G476" t="s">
        <v>28</v>
      </c>
      <c r="H476" t="s">
        <v>68</v>
      </c>
      <c r="I476" t="s">
        <v>90</v>
      </c>
      <c r="J476">
        <v>3</v>
      </c>
      <c r="K476">
        <v>53514</v>
      </c>
      <c r="L476">
        <v>0</v>
      </c>
      <c r="M476">
        <v>160542</v>
      </c>
      <c r="N476">
        <v>22494.62</v>
      </c>
      <c r="O476" t="s">
        <v>31</v>
      </c>
    </row>
    <row r="477" spans="1:15" x14ac:dyDescent="0.25">
      <c r="A477" t="s">
        <v>547</v>
      </c>
      <c r="B477" s="1">
        <v>45769</v>
      </c>
      <c r="C477" t="s">
        <v>36</v>
      </c>
      <c r="D477" t="s">
        <v>85</v>
      </c>
      <c r="E477" t="s">
        <v>86</v>
      </c>
      <c r="F477" t="s">
        <v>33</v>
      </c>
      <c r="G477" t="s">
        <v>20</v>
      </c>
      <c r="H477" t="s">
        <v>40</v>
      </c>
      <c r="I477" t="s">
        <v>80</v>
      </c>
      <c r="J477">
        <v>1</v>
      </c>
      <c r="K477">
        <v>64653</v>
      </c>
      <c r="L477">
        <v>10</v>
      </c>
      <c r="M477">
        <v>58187.7</v>
      </c>
      <c r="N477">
        <v>14237.82</v>
      </c>
      <c r="O477" t="s">
        <v>34</v>
      </c>
    </row>
    <row r="478" spans="1:15" x14ac:dyDescent="0.25">
      <c r="A478" t="s">
        <v>548</v>
      </c>
      <c r="B478" s="1">
        <v>45792</v>
      </c>
      <c r="C478" t="s">
        <v>36</v>
      </c>
      <c r="D478" t="s">
        <v>85</v>
      </c>
      <c r="E478" t="s">
        <v>86</v>
      </c>
      <c r="F478" t="s">
        <v>63</v>
      </c>
      <c r="G478" t="s">
        <v>20</v>
      </c>
      <c r="H478" t="s">
        <v>77</v>
      </c>
      <c r="I478" t="s">
        <v>88</v>
      </c>
      <c r="J478">
        <v>6</v>
      </c>
      <c r="K478">
        <v>19351</v>
      </c>
      <c r="L478">
        <v>10</v>
      </c>
      <c r="M478">
        <v>104495.4</v>
      </c>
      <c r="N478">
        <v>9341.85</v>
      </c>
      <c r="O478" t="s">
        <v>31</v>
      </c>
    </row>
    <row r="479" spans="1:15" x14ac:dyDescent="0.25">
      <c r="A479" t="s">
        <v>549</v>
      </c>
      <c r="B479" s="1">
        <v>45844</v>
      </c>
      <c r="C479" t="s">
        <v>25</v>
      </c>
      <c r="D479" t="s">
        <v>26</v>
      </c>
      <c r="E479" t="s">
        <v>27</v>
      </c>
      <c r="F479" t="s">
        <v>93</v>
      </c>
      <c r="G479" t="s">
        <v>28</v>
      </c>
      <c r="H479" t="s">
        <v>29</v>
      </c>
      <c r="I479" t="s">
        <v>48</v>
      </c>
      <c r="J479">
        <v>5</v>
      </c>
      <c r="K479">
        <v>67884</v>
      </c>
      <c r="L479">
        <v>10</v>
      </c>
      <c r="M479">
        <v>305478</v>
      </c>
      <c r="N479">
        <v>44597.78</v>
      </c>
      <c r="O479" t="s">
        <v>42</v>
      </c>
    </row>
    <row r="480" spans="1:15" x14ac:dyDescent="0.25">
      <c r="A480" t="s">
        <v>550</v>
      </c>
      <c r="B480" s="1">
        <v>45821</v>
      </c>
      <c r="C480" t="s">
        <v>25</v>
      </c>
      <c r="D480" t="s">
        <v>61</v>
      </c>
      <c r="E480" t="s">
        <v>62</v>
      </c>
      <c r="F480" t="s">
        <v>72</v>
      </c>
      <c r="G480" t="s">
        <v>20</v>
      </c>
      <c r="H480" t="s">
        <v>68</v>
      </c>
      <c r="I480" t="s">
        <v>90</v>
      </c>
      <c r="J480">
        <v>6</v>
      </c>
      <c r="K480">
        <v>14039</v>
      </c>
      <c r="L480">
        <v>0</v>
      </c>
      <c r="M480">
        <v>84234</v>
      </c>
      <c r="N480">
        <v>13221.54</v>
      </c>
      <c r="O480" t="s">
        <v>31</v>
      </c>
    </row>
    <row r="481" spans="1:15" x14ac:dyDescent="0.25">
      <c r="A481" t="s">
        <v>551</v>
      </c>
      <c r="B481" s="1">
        <v>45841</v>
      </c>
      <c r="C481" t="s">
        <v>36</v>
      </c>
      <c r="D481" t="s">
        <v>50</v>
      </c>
      <c r="E481" t="s">
        <v>51</v>
      </c>
      <c r="F481" t="s">
        <v>52</v>
      </c>
      <c r="G481" t="s">
        <v>20</v>
      </c>
      <c r="H481" t="s">
        <v>21</v>
      </c>
      <c r="I481" t="s">
        <v>56</v>
      </c>
      <c r="J481">
        <v>4</v>
      </c>
      <c r="K481">
        <v>15083</v>
      </c>
      <c r="L481">
        <v>20</v>
      </c>
      <c r="M481">
        <v>48265.599999999999</v>
      </c>
      <c r="N481">
        <v>11668.19</v>
      </c>
      <c r="O481" t="s">
        <v>31</v>
      </c>
    </row>
    <row r="482" spans="1:15" x14ac:dyDescent="0.25">
      <c r="A482" t="s">
        <v>552</v>
      </c>
      <c r="B482" s="1">
        <v>45744</v>
      </c>
      <c r="C482" t="s">
        <v>65</v>
      </c>
      <c r="D482" t="s">
        <v>82</v>
      </c>
      <c r="E482" t="s">
        <v>83</v>
      </c>
      <c r="F482" t="s">
        <v>72</v>
      </c>
      <c r="G482" t="s">
        <v>20</v>
      </c>
      <c r="H482" t="s">
        <v>29</v>
      </c>
      <c r="I482" t="s">
        <v>53</v>
      </c>
      <c r="J482">
        <v>10</v>
      </c>
      <c r="K482">
        <v>46897</v>
      </c>
      <c r="L482">
        <v>15</v>
      </c>
      <c r="M482">
        <v>398624.5</v>
      </c>
      <c r="N482">
        <v>86040.75</v>
      </c>
      <c r="O482" t="s">
        <v>34</v>
      </c>
    </row>
    <row r="483" spans="1:15" x14ac:dyDescent="0.25">
      <c r="A483" t="s">
        <v>553</v>
      </c>
      <c r="B483" s="1">
        <v>45972</v>
      </c>
      <c r="C483" t="s">
        <v>25</v>
      </c>
      <c r="D483" t="s">
        <v>26</v>
      </c>
      <c r="E483" t="s">
        <v>27</v>
      </c>
      <c r="F483" t="s">
        <v>39</v>
      </c>
      <c r="G483" t="s">
        <v>28</v>
      </c>
      <c r="H483" t="s">
        <v>68</v>
      </c>
      <c r="I483" t="s">
        <v>94</v>
      </c>
      <c r="J483">
        <v>6</v>
      </c>
      <c r="K483">
        <v>25117</v>
      </c>
      <c r="L483">
        <v>0</v>
      </c>
      <c r="M483">
        <v>150702</v>
      </c>
      <c r="N483">
        <v>19634.53</v>
      </c>
      <c r="O483" t="s">
        <v>23</v>
      </c>
    </row>
    <row r="484" spans="1:15" x14ac:dyDescent="0.25">
      <c r="A484" t="s">
        <v>554</v>
      </c>
      <c r="B484" s="1">
        <v>45852</v>
      </c>
      <c r="C484" t="s">
        <v>25</v>
      </c>
      <c r="D484" t="s">
        <v>61</v>
      </c>
      <c r="E484" t="s">
        <v>62</v>
      </c>
      <c r="F484" t="s">
        <v>52</v>
      </c>
      <c r="G484" t="s">
        <v>20</v>
      </c>
      <c r="H484" t="s">
        <v>40</v>
      </c>
      <c r="I484" t="s">
        <v>41</v>
      </c>
      <c r="J484">
        <v>10</v>
      </c>
      <c r="K484">
        <v>65489</v>
      </c>
      <c r="L484">
        <v>5</v>
      </c>
      <c r="M484">
        <v>622145.5</v>
      </c>
      <c r="N484">
        <v>101661.81</v>
      </c>
      <c r="O484" t="s">
        <v>34</v>
      </c>
    </row>
    <row r="485" spans="1:15" x14ac:dyDescent="0.25">
      <c r="A485" t="s">
        <v>555</v>
      </c>
      <c r="B485" s="1">
        <v>45925</v>
      </c>
      <c r="C485" t="s">
        <v>16</v>
      </c>
      <c r="D485" t="s">
        <v>44</v>
      </c>
      <c r="E485" t="s">
        <v>44</v>
      </c>
      <c r="F485" t="s">
        <v>72</v>
      </c>
      <c r="G485" t="s">
        <v>28</v>
      </c>
      <c r="H485" t="s">
        <v>77</v>
      </c>
      <c r="I485" t="s">
        <v>88</v>
      </c>
      <c r="J485">
        <v>4</v>
      </c>
      <c r="K485">
        <v>11675</v>
      </c>
      <c r="L485">
        <v>20</v>
      </c>
      <c r="M485">
        <v>37360</v>
      </c>
      <c r="N485">
        <v>3964.19</v>
      </c>
      <c r="O485" t="s">
        <v>31</v>
      </c>
    </row>
    <row r="486" spans="1:15" x14ac:dyDescent="0.25">
      <c r="A486" t="s">
        <v>556</v>
      </c>
      <c r="B486" s="1">
        <v>45984</v>
      </c>
      <c r="C486" t="s">
        <v>36</v>
      </c>
      <c r="D486" t="s">
        <v>37</v>
      </c>
      <c r="E486" t="s">
        <v>38</v>
      </c>
      <c r="F486" t="s">
        <v>93</v>
      </c>
      <c r="G486" t="s">
        <v>28</v>
      </c>
      <c r="H486" t="s">
        <v>40</v>
      </c>
      <c r="I486" t="s">
        <v>41</v>
      </c>
      <c r="J486">
        <v>7</v>
      </c>
      <c r="K486">
        <v>15909</v>
      </c>
      <c r="L486">
        <v>0</v>
      </c>
      <c r="M486">
        <v>111363</v>
      </c>
      <c r="N486">
        <v>20994.01</v>
      </c>
      <c r="O486" t="s">
        <v>31</v>
      </c>
    </row>
    <row r="487" spans="1:15" x14ac:dyDescent="0.25">
      <c r="A487" t="s">
        <v>557</v>
      </c>
      <c r="B487" s="1">
        <v>45718</v>
      </c>
      <c r="C487" t="s">
        <v>16</v>
      </c>
      <c r="D487" t="s">
        <v>44</v>
      </c>
      <c r="E487" t="s">
        <v>44</v>
      </c>
      <c r="F487" t="s">
        <v>93</v>
      </c>
      <c r="G487" t="s">
        <v>28</v>
      </c>
      <c r="H487" t="s">
        <v>77</v>
      </c>
      <c r="I487" t="s">
        <v>100</v>
      </c>
      <c r="J487">
        <v>2</v>
      </c>
      <c r="K487">
        <v>73405</v>
      </c>
      <c r="L487">
        <v>0</v>
      </c>
      <c r="M487">
        <v>146810</v>
      </c>
      <c r="N487">
        <v>30159.34</v>
      </c>
      <c r="O487" t="s">
        <v>31</v>
      </c>
    </row>
    <row r="488" spans="1:15" x14ac:dyDescent="0.25">
      <c r="A488" t="s">
        <v>558</v>
      </c>
      <c r="B488" s="1">
        <v>46000</v>
      </c>
      <c r="C488" t="s">
        <v>65</v>
      </c>
      <c r="D488" t="s">
        <v>66</v>
      </c>
      <c r="E488" t="s">
        <v>67</v>
      </c>
      <c r="F488" t="s">
        <v>47</v>
      </c>
      <c r="G488" t="s">
        <v>20</v>
      </c>
      <c r="H488" t="s">
        <v>21</v>
      </c>
      <c r="I488" t="s">
        <v>56</v>
      </c>
      <c r="J488">
        <v>1</v>
      </c>
      <c r="K488">
        <v>42610</v>
      </c>
      <c r="L488">
        <v>0</v>
      </c>
      <c r="M488">
        <v>42610</v>
      </c>
      <c r="N488">
        <v>6613.49</v>
      </c>
      <c r="O488" t="s">
        <v>34</v>
      </c>
    </row>
    <row r="489" spans="1:15" x14ac:dyDescent="0.25">
      <c r="A489" t="s">
        <v>559</v>
      </c>
      <c r="B489" s="1">
        <v>45738</v>
      </c>
      <c r="C489" t="s">
        <v>16</v>
      </c>
      <c r="D489" t="s">
        <v>106</v>
      </c>
      <c r="E489" t="s">
        <v>107</v>
      </c>
      <c r="F489" t="s">
        <v>63</v>
      </c>
      <c r="G489" t="s">
        <v>28</v>
      </c>
      <c r="H489" t="s">
        <v>77</v>
      </c>
      <c r="I489" t="s">
        <v>88</v>
      </c>
      <c r="J489">
        <v>5</v>
      </c>
      <c r="K489">
        <v>71696</v>
      </c>
      <c r="L489">
        <v>20</v>
      </c>
      <c r="M489">
        <v>286784</v>
      </c>
      <c r="N489">
        <v>34704.42</v>
      </c>
      <c r="O489" t="s">
        <v>34</v>
      </c>
    </row>
    <row r="490" spans="1:15" x14ac:dyDescent="0.25">
      <c r="A490" t="s">
        <v>560</v>
      </c>
      <c r="B490" s="1">
        <v>45788</v>
      </c>
      <c r="C490" t="s">
        <v>16</v>
      </c>
      <c r="D490" t="s">
        <v>44</v>
      </c>
      <c r="E490" t="s">
        <v>44</v>
      </c>
      <c r="F490" t="s">
        <v>93</v>
      </c>
      <c r="G490" t="s">
        <v>28</v>
      </c>
      <c r="H490" t="s">
        <v>77</v>
      </c>
      <c r="I490" t="s">
        <v>100</v>
      </c>
      <c r="J490">
        <v>5</v>
      </c>
      <c r="K490">
        <v>45978</v>
      </c>
      <c r="L490">
        <v>5</v>
      </c>
      <c r="M490">
        <v>218395.5</v>
      </c>
      <c r="N490">
        <v>50041.56</v>
      </c>
      <c r="O490" t="s">
        <v>31</v>
      </c>
    </row>
    <row r="491" spans="1:15" x14ac:dyDescent="0.25">
      <c r="A491" t="s">
        <v>561</v>
      </c>
      <c r="B491" s="1">
        <v>45764</v>
      </c>
      <c r="C491" t="s">
        <v>65</v>
      </c>
      <c r="D491" t="s">
        <v>82</v>
      </c>
      <c r="E491" t="s">
        <v>83</v>
      </c>
      <c r="F491" t="s">
        <v>33</v>
      </c>
      <c r="G491" t="s">
        <v>20</v>
      </c>
      <c r="H491" t="s">
        <v>29</v>
      </c>
      <c r="I491" t="s">
        <v>53</v>
      </c>
      <c r="J491">
        <v>5</v>
      </c>
      <c r="K491">
        <v>16991</v>
      </c>
      <c r="L491">
        <v>15</v>
      </c>
      <c r="M491">
        <v>72211.75</v>
      </c>
      <c r="N491">
        <v>13282.65</v>
      </c>
      <c r="O491" t="s">
        <v>31</v>
      </c>
    </row>
    <row r="492" spans="1:15" x14ac:dyDescent="0.25">
      <c r="A492" t="s">
        <v>562</v>
      </c>
      <c r="B492" s="1">
        <v>45953</v>
      </c>
      <c r="C492" t="s">
        <v>65</v>
      </c>
      <c r="D492" t="s">
        <v>66</v>
      </c>
      <c r="E492" t="s">
        <v>67</v>
      </c>
      <c r="F492" t="s">
        <v>52</v>
      </c>
      <c r="G492" t="s">
        <v>28</v>
      </c>
      <c r="H492" t="s">
        <v>68</v>
      </c>
      <c r="I492" t="s">
        <v>90</v>
      </c>
      <c r="J492">
        <v>7</v>
      </c>
      <c r="K492">
        <v>52857</v>
      </c>
      <c r="L492">
        <v>20</v>
      </c>
      <c r="M492">
        <v>295999.2</v>
      </c>
      <c r="N492">
        <v>54750.48</v>
      </c>
      <c r="O492" t="s">
        <v>42</v>
      </c>
    </row>
    <row r="493" spans="1:15" x14ac:dyDescent="0.25">
      <c r="A493" t="s">
        <v>563</v>
      </c>
      <c r="B493" s="1">
        <v>45882</v>
      </c>
      <c r="C493" t="s">
        <v>65</v>
      </c>
      <c r="D493" t="s">
        <v>82</v>
      </c>
      <c r="E493" t="s">
        <v>83</v>
      </c>
      <c r="F493" t="s">
        <v>33</v>
      </c>
      <c r="G493" t="s">
        <v>20</v>
      </c>
      <c r="H493" t="s">
        <v>40</v>
      </c>
      <c r="I493" t="s">
        <v>59</v>
      </c>
      <c r="J493">
        <v>2</v>
      </c>
      <c r="K493">
        <v>14525</v>
      </c>
      <c r="L493">
        <v>5</v>
      </c>
      <c r="M493">
        <v>27597.5</v>
      </c>
      <c r="N493">
        <v>5909.89</v>
      </c>
      <c r="O493" t="s">
        <v>34</v>
      </c>
    </row>
    <row r="494" spans="1:15" x14ac:dyDescent="0.25">
      <c r="A494" t="s">
        <v>564</v>
      </c>
      <c r="B494" s="1">
        <v>46013</v>
      </c>
      <c r="C494" t="s">
        <v>16</v>
      </c>
      <c r="D494" t="s">
        <v>106</v>
      </c>
      <c r="E494" t="s">
        <v>107</v>
      </c>
      <c r="F494" t="s">
        <v>72</v>
      </c>
      <c r="G494" t="s">
        <v>28</v>
      </c>
      <c r="H494" t="s">
        <v>29</v>
      </c>
      <c r="I494" t="s">
        <v>53</v>
      </c>
      <c r="J494">
        <v>3</v>
      </c>
      <c r="K494">
        <v>50317</v>
      </c>
      <c r="L494">
        <v>0</v>
      </c>
      <c r="M494">
        <v>150951</v>
      </c>
      <c r="N494">
        <v>15056.19</v>
      </c>
      <c r="O494" t="s">
        <v>34</v>
      </c>
    </row>
    <row r="495" spans="1:15" x14ac:dyDescent="0.25">
      <c r="A495" t="s">
        <v>565</v>
      </c>
      <c r="B495" s="1">
        <v>45866</v>
      </c>
      <c r="C495" t="s">
        <v>16</v>
      </c>
      <c r="D495" t="s">
        <v>17</v>
      </c>
      <c r="E495" t="s">
        <v>18</v>
      </c>
      <c r="F495" t="s">
        <v>72</v>
      </c>
      <c r="G495" t="s">
        <v>20</v>
      </c>
      <c r="H495" t="s">
        <v>40</v>
      </c>
      <c r="I495" t="s">
        <v>80</v>
      </c>
      <c r="J495">
        <v>3</v>
      </c>
      <c r="K495">
        <v>39324</v>
      </c>
      <c r="L495">
        <v>20</v>
      </c>
      <c r="M495">
        <v>94377.600000000006</v>
      </c>
      <c r="N495">
        <v>17925.41</v>
      </c>
      <c r="O495" t="s">
        <v>31</v>
      </c>
    </row>
    <row r="496" spans="1:15" x14ac:dyDescent="0.25">
      <c r="A496" t="s">
        <v>566</v>
      </c>
      <c r="B496" s="1">
        <v>45737</v>
      </c>
      <c r="C496" t="s">
        <v>65</v>
      </c>
      <c r="D496" t="s">
        <v>82</v>
      </c>
      <c r="E496" t="s">
        <v>83</v>
      </c>
      <c r="F496" t="s">
        <v>39</v>
      </c>
      <c r="G496" t="s">
        <v>28</v>
      </c>
      <c r="H496" t="s">
        <v>77</v>
      </c>
      <c r="I496" t="s">
        <v>78</v>
      </c>
      <c r="J496">
        <v>3</v>
      </c>
      <c r="K496">
        <v>25445</v>
      </c>
      <c r="L496">
        <v>20</v>
      </c>
      <c r="M496">
        <v>61068</v>
      </c>
      <c r="N496">
        <v>13145.8</v>
      </c>
      <c r="O496" t="s">
        <v>42</v>
      </c>
    </row>
    <row r="497" spans="1:15" x14ac:dyDescent="0.25">
      <c r="A497" t="s">
        <v>567</v>
      </c>
      <c r="B497" s="1">
        <v>45787</v>
      </c>
      <c r="C497" t="s">
        <v>36</v>
      </c>
      <c r="D497" t="s">
        <v>37</v>
      </c>
      <c r="E497" t="s">
        <v>38</v>
      </c>
      <c r="F497" t="s">
        <v>52</v>
      </c>
      <c r="G497" t="s">
        <v>20</v>
      </c>
      <c r="H497" t="s">
        <v>40</v>
      </c>
      <c r="I497" t="s">
        <v>80</v>
      </c>
      <c r="J497">
        <v>2</v>
      </c>
      <c r="K497">
        <v>61095</v>
      </c>
      <c r="L497">
        <v>15</v>
      </c>
      <c r="M497">
        <v>103861.5</v>
      </c>
      <c r="N497">
        <v>24446.6</v>
      </c>
      <c r="O497" t="s">
        <v>42</v>
      </c>
    </row>
    <row r="498" spans="1:15" x14ac:dyDescent="0.25">
      <c r="A498" t="s">
        <v>568</v>
      </c>
      <c r="B498" s="1">
        <v>45848</v>
      </c>
      <c r="C498" t="s">
        <v>36</v>
      </c>
      <c r="D498" t="s">
        <v>37</v>
      </c>
      <c r="E498" t="s">
        <v>38</v>
      </c>
      <c r="F498" t="s">
        <v>39</v>
      </c>
      <c r="G498" t="s">
        <v>20</v>
      </c>
      <c r="H498" t="s">
        <v>21</v>
      </c>
      <c r="I498" t="s">
        <v>56</v>
      </c>
      <c r="J498">
        <v>6</v>
      </c>
      <c r="K498">
        <v>35823</v>
      </c>
      <c r="L498">
        <v>20</v>
      </c>
      <c r="M498">
        <v>171950.4</v>
      </c>
      <c r="N498">
        <v>33266.93</v>
      </c>
      <c r="O498" t="s">
        <v>31</v>
      </c>
    </row>
    <row r="499" spans="1:15" x14ac:dyDescent="0.25">
      <c r="A499" t="s">
        <v>569</v>
      </c>
      <c r="B499" s="1">
        <v>45866</v>
      </c>
      <c r="C499" t="s">
        <v>36</v>
      </c>
      <c r="D499" t="s">
        <v>37</v>
      </c>
      <c r="E499" t="s">
        <v>38</v>
      </c>
      <c r="F499" t="s">
        <v>19</v>
      </c>
      <c r="G499" t="s">
        <v>28</v>
      </c>
      <c r="H499" t="s">
        <v>21</v>
      </c>
      <c r="I499" t="s">
        <v>56</v>
      </c>
      <c r="J499">
        <v>6</v>
      </c>
      <c r="K499">
        <v>37598</v>
      </c>
      <c r="L499">
        <v>0</v>
      </c>
      <c r="M499">
        <v>225588</v>
      </c>
      <c r="N499">
        <v>53712.76</v>
      </c>
      <c r="O499" t="s">
        <v>31</v>
      </c>
    </row>
    <row r="500" spans="1:15" x14ac:dyDescent="0.25">
      <c r="A500" t="s">
        <v>570</v>
      </c>
      <c r="B500" s="1">
        <v>45973</v>
      </c>
      <c r="C500" t="s">
        <v>16</v>
      </c>
      <c r="D500" t="s">
        <v>106</v>
      </c>
      <c r="E500" t="s">
        <v>107</v>
      </c>
      <c r="F500" t="s">
        <v>19</v>
      </c>
      <c r="G500" t="s">
        <v>28</v>
      </c>
      <c r="H500" t="s">
        <v>21</v>
      </c>
      <c r="I500" t="s">
        <v>22</v>
      </c>
      <c r="J500">
        <v>6</v>
      </c>
      <c r="K500">
        <v>32865</v>
      </c>
      <c r="L500">
        <v>15</v>
      </c>
      <c r="M500">
        <v>167611.5</v>
      </c>
      <c r="N500">
        <v>23118.21</v>
      </c>
      <c r="O500" t="s">
        <v>31</v>
      </c>
    </row>
    <row r="501" spans="1:15" x14ac:dyDescent="0.25">
      <c r="A501" t="s">
        <v>571</v>
      </c>
      <c r="B501" s="1">
        <v>45877</v>
      </c>
      <c r="C501" t="s">
        <v>25</v>
      </c>
      <c r="D501" t="s">
        <v>26</v>
      </c>
      <c r="E501" t="s">
        <v>27</v>
      </c>
      <c r="F501" t="s">
        <v>93</v>
      </c>
      <c r="G501" t="s">
        <v>20</v>
      </c>
      <c r="H501" t="s">
        <v>68</v>
      </c>
      <c r="I501" t="s">
        <v>94</v>
      </c>
      <c r="J501">
        <v>5</v>
      </c>
      <c r="K501">
        <v>8569</v>
      </c>
      <c r="L501">
        <v>0</v>
      </c>
      <c r="M501">
        <v>42845</v>
      </c>
      <c r="N501">
        <v>9117.6200000000008</v>
      </c>
      <c r="O501" t="s">
        <v>31</v>
      </c>
    </row>
    <row r="502" spans="1:15" x14ac:dyDescent="0.25">
      <c r="A502" t="s">
        <v>572</v>
      </c>
      <c r="B502" s="1">
        <v>45754</v>
      </c>
      <c r="C502" t="s">
        <v>36</v>
      </c>
      <c r="D502" t="s">
        <v>85</v>
      </c>
      <c r="E502" t="s">
        <v>86</v>
      </c>
      <c r="F502" t="s">
        <v>39</v>
      </c>
      <c r="G502" t="s">
        <v>20</v>
      </c>
      <c r="H502" t="s">
        <v>77</v>
      </c>
      <c r="I502" t="s">
        <v>100</v>
      </c>
      <c r="J502">
        <v>2</v>
      </c>
      <c r="K502">
        <v>28450</v>
      </c>
      <c r="L502">
        <v>10</v>
      </c>
      <c r="M502">
        <v>51210</v>
      </c>
      <c r="N502">
        <v>11360.82</v>
      </c>
      <c r="O502" t="s">
        <v>42</v>
      </c>
    </row>
    <row r="503" spans="1:15" x14ac:dyDescent="0.25">
      <c r="A503" t="s">
        <v>573</v>
      </c>
      <c r="B503" s="1">
        <v>45736</v>
      </c>
      <c r="C503" t="s">
        <v>65</v>
      </c>
      <c r="D503" t="s">
        <v>66</v>
      </c>
      <c r="E503" t="s">
        <v>67</v>
      </c>
      <c r="F503" t="s">
        <v>63</v>
      </c>
      <c r="G503" t="s">
        <v>28</v>
      </c>
      <c r="H503" t="s">
        <v>21</v>
      </c>
      <c r="I503" t="s">
        <v>56</v>
      </c>
      <c r="J503">
        <v>8</v>
      </c>
      <c r="K503">
        <v>56969</v>
      </c>
      <c r="L503">
        <v>10</v>
      </c>
      <c r="M503">
        <v>410176.8</v>
      </c>
      <c r="N503">
        <v>92479.47</v>
      </c>
      <c r="O503" t="s">
        <v>42</v>
      </c>
    </row>
    <row r="504" spans="1:15" x14ac:dyDescent="0.25">
      <c r="A504" t="s">
        <v>574</v>
      </c>
      <c r="B504" s="1">
        <v>45884</v>
      </c>
      <c r="C504" t="s">
        <v>25</v>
      </c>
      <c r="D504" t="s">
        <v>61</v>
      </c>
      <c r="E504" t="s">
        <v>62</v>
      </c>
      <c r="F504" t="s">
        <v>39</v>
      </c>
      <c r="G504" t="s">
        <v>28</v>
      </c>
      <c r="H504" t="s">
        <v>29</v>
      </c>
      <c r="I504" t="s">
        <v>53</v>
      </c>
      <c r="J504">
        <v>6</v>
      </c>
      <c r="K504">
        <v>51731</v>
      </c>
      <c r="L504">
        <v>0</v>
      </c>
      <c r="M504">
        <v>310386</v>
      </c>
      <c r="N504">
        <v>37134.639999999999</v>
      </c>
      <c r="O504" t="s">
        <v>31</v>
      </c>
    </row>
    <row r="505" spans="1:15" x14ac:dyDescent="0.25">
      <c r="A505" t="s">
        <v>575</v>
      </c>
      <c r="B505" s="1">
        <v>46022</v>
      </c>
      <c r="C505" t="s">
        <v>36</v>
      </c>
      <c r="D505" t="s">
        <v>50</v>
      </c>
      <c r="E505" t="s">
        <v>51</v>
      </c>
      <c r="F505" t="s">
        <v>39</v>
      </c>
      <c r="G505" t="s">
        <v>28</v>
      </c>
      <c r="H505" t="s">
        <v>40</v>
      </c>
      <c r="I505" t="s">
        <v>80</v>
      </c>
      <c r="J505">
        <v>9</v>
      </c>
      <c r="K505">
        <v>33045</v>
      </c>
      <c r="L505">
        <v>20</v>
      </c>
      <c r="M505">
        <v>237924</v>
      </c>
      <c r="N505">
        <v>22592.68</v>
      </c>
      <c r="O505" t="s">
        <v>42</v>
      </c>
    </row>
    <row r="506" spans="1:15" x14ac:dyDescent="0.25">
      <c r="A506" t="s">
        <v>576</v>
      </c>
      <c r="B506" s="1">
        <v>45966</v>
      </c>
      <c r="C506" t="s">
        <v>65</v>
      </c>
      <c r="D506" t="s">
        <v>82</v>
      </c>
      <c r="E506" t="s">
        <v>83</v>
      </c>
      <c r="F506" t="s">
        <v>47</v>
      </c>
      <c r="G506" t="s">
        <v>28</v>
      </c>
      <c r="H506" t="s">
        <v>77</v>
      </c>
      <c r="I506" t="s">
        <v>88</v>
      </c>
      <c r="J506">
        <v>3</v>
      </c>
      <c r="K506">
        <v>68606</v>
      </c>
      <c r="L506">
        <v>15</v>
      </c>
      <c r="M506">
        <v>174945.3</v>
      </c>
      <c r="N506">
        <v>36390.51</v>
      </c>
      <c r="O506" t="s">
        <v>23</v>
      </c>
    </row>
    <row r="507" spans="1:15" x14ac:dyDescent="0.25">
      <c r="A507" t="s">
        <v>577</v>
      </c>
      <c r="B507" s="1">
        <v>45738</v>
      </c>
      <c r="C507" t="s">
        <v>16</v>
      </c>
      <c r="D507" t="s">
        <v>44</v>
      </c>
      <c r="E507" t="s">
        <v>44</v>
      </c>
      <c r="F507" t="s">
        <v>72</v>
      </c>
      <c r="G507" t="s">
        <v>28</v>
      </c>
      <c r="H507" t="s">
        <v>77</v>
      </c>
      <c r="I507" t="s">
        <v>88</v>
      </c>
      <c r="J507">
        <v>5</v>
      </c>
      <c r="K507">
        <v>49941</v>
      </c>
      <c r="L507">
        <v>0</v>
      </c>
      <c r="M507">
        <v>249705</v>
      </c>
      <c r="N507">
        <v>28901.53</v>
      </c>
      <c r="O507" t="s">
        <v>23</v>
      </c>
    </row>
    <row r="508" spans="1:15" x14ac:dyDescent="0.25">
      <c r="A508" t="s">
        <v>578</v>
      </c>
      <c r="B508" s="1">
        <v>45983</v>
      </c>
      <c r="C508" t="s">
        <v>25</v>
      </c>
      <c r="D508" t="s">
        <v>61</v>
      </c>
      <c r="E508" t="s">
        <v>62</v>
      </c>
      <c r="F508" t="s">
        <v>52</v>
      </c>
      <c r="G508" t="s">
        <v>20</v>
      </c>
      <c r="H508" t="s">
        <v>40</v>
      </c>
      <c r="I508" t="s">
        <v>59</v>
      </c>
      <c r="J508">
        <v>8</v>
      </c>
      <c r="K508">
        <v>64785</v>
      </c>
      <c r="L508">
        <v>5</v>
      </c>
      <c r="M508">
        <v>492366</v>
      </c>
      <c r="N508">
        <v>56023</v>
      </c>
      <c r="O508" t="s">
        <v>31</v>
      </c>
    </row>
    <row r="509" spans="1:15" x14ac:dyDescent="0.25">
      <c r="A509" t="s">
        <v>579</v>
      </c>
      <c r="B509" s="1">
        <v>45927</v>
      </c>
      <c r="C509" t="s">
        <v>25</v>
      </c>
      <c r="D509" t="s">
        <v>26</v>
      </c>
      <c r="E509" t="s">
        <v>27</v>
      </c>
      <c r="F509" t="s">
        <v>47</v>
      </c>
      <c r="G509" t="s">
        <v>20</v>
      </c>
      <c r="H509" t="s">
        <v>77</v>
      </c>
      <c r="I509" t="s">
        <v>78</v>
      </c>
      <c r="J509">
        <v>4</v>
      </c>
      <c r="K509">
        <v>10427</v>
      </c>
      <c r="L509">
        <v>10</v>
      </c>
      <c r="M509">
        <v>37537.199999999997</v>
      </c>
      <c r="N509">
        <v>3184.16</v>
      </c>
      <c r="O509" t="s">
        <v>34</v>
      </c>
    </row>
    <row r="510" spans="1:15" x14ac:dyDescent="0.25">
      <c r="A510" t="s">
        <v>580</v>
      </c>
      <c r="B510" s="1">
        <v>45882</v>
      </c>
      <c r="C510" t="s">
        <v>65</v>
      </c>
      <c r="D510" t="s">
        <v>66</v>
      </c>
      <c r="E510" t="s">
        <v>67</v>
      </c>
      <c r="F510" t="s">
        <v>63</v>
      </c>
      <c r="G510" t="s">
        <v>28</v>
      </c>
      <c r="H510" t="s">
        <v>77</v>
      </c>
      <c r="I510" t="s">
        <v>88</v>
      </c>
      <c r="J510">
        <v>6</v>
      </c>
      <c r="K510">
        <v>37788</v>
      </c>
      <c r="L510">
        <v>15</v>
      </c>
      <c r="M510">
        <v>192718.8</v>
      </c>
      <c r="N510">
        <v>28832.68</v>
      </c>
      <c r="O510" t="s">
        <v>42</v>
      </c>
    </row>
    <row r="511" spans="1:15" x14ac:dyDescent="0.25">
      <c r="A511" t="s">
        <v>581</v>
      </c>
      <c r="B511" s="1">
        <v>45884</v>
      </c>
      <c r="C511" t="s">
        <v>36</v>
      </c>
      <c r="D511" t="s">
        <v>85</v>
      </c>
      <c r="E511" t="s">
        <v>86</v>
      </c>
      <c r="F511" t="s">
        <v>72</v>
      </c>
      <c r="G511" t="s">
        <v>20</v>
      </c>
      <c r="H511" t="s">
        <v>21</v>
      </c>
      <c r="I511" t="s">
        <v>56</v>
      </c>
      <c r="J511">
        <v>5</v>
      </c>
      <c r="K511">
        <v>11970</v>
      </c>
      <c r="L511">
        <v>10</v>
      </c>
      <c r="M511">
        <v>53865</v>
      </c>
      <c r="N511">
        <v>6767.65</v>
      </c>
      <c r="O511" t="s">
        <v>31</v>
      </c>
    </row>
    <row r="512" spans="1:15" x14ac:dyDescent="0.25">
      <c r="A512" t="s">
        <v>582</v>
      </c>
      <c r="B512" s="1">
        <v>45889</v>
      </c>
      <c r="C512" t="s">
        <v>16</v>
      </c>
      <c r="D512" t="s">
        <v>106</v>
      </c>
      <c r="E512" t="s">
        <v>107</v>
      </c>
      <c r="F512" t="s">
        <v>33</v>
      </c>
      <c r="G512" t="s">
        <v>28</v>
      </c>
      <c r="H512" t="s">
        <v>21</v>
      </c>
      <c r="I512" t="s">
        <v>22</v>
      </c>
      <c r="J512">
        <v>5</v>
      </c>
      <c r="K512">
        <v>66875</v>
      </c>
      <c r="L512">
        <v>10</v>
      </c>
      <c r="M512">
        <v>300937.5</v>
      </c>
      <c r="N512">
        <v>57927.12</v>
      </c>
      <c r="O512" t="s">
        <v>34</v>
      </c>
    </row>
    <row r="513" spans="1:15" x14ac:dyDescent="0.25">
      <c r="A513" t="s">
        <v>583</v>
      </c>
      <c r="B513" s="1">
        <v>45692</v>
      </c>
      <c r="C513" t="s">
        <v>16</v>
      </c>
      <c r="D513" t="s">
        <v>17</v>
      </c>
      <c r="E513" t="s">
        <v>18</v>
      </c>
      <c r="F513" t="s">
        <v>19</v>
      </c>
      <c r="G513" t="s">
        <v>20</v>
      </c>
      <c r="H513" t="s">
        <v>77</v>
      </c>
      <c r="I513" t="s">
        <v>88</v>
      </c>
      <c r="J513">
        <v>10</v>
      </c>
      <c r="K513">
        <v>65720</v>
      </c>
      <c r="L513">
        <v>10</v>
      </c>
      <c r="M513">
        <v>591480</v>
      </c>
      <c r="N513">
        <v>126404.99</v>
      </c>
      <c r="O513" t="s">
        <v>34</v>
      </c>
    </row>
    <row r="514" spans="1:15" x14ac:dyDescent="0.25">
      <c r="A514" t="s">
        <v>584</v>
      </c>
      <c r="B514" s="1">
        <v>45764</v>
      </c>
      <c r="C514" t="s">
        <v>16</v>
      </c>
      <c r="D514" t="s">
        <v>17</v>
      </c>
      <c r="E514" t="s">
        <v>18</v>
      </c>
      <c r="F514" t="s">
        <v>93</v>
      </c>
      <c r="G514" t="s">
        <v>20</v>
      </c>
      <c r="H514" t="s">
        <v>40</v>
      </c>
      <c r="I514" t="s">
        <v>80</v>
      </c>
      <c r="J514">
        <v>3</v>
      </c>
      <c r="K514">
        <v>6988</v>
      </c>
      <c r="L514">
        <v>10</v>
      </c>
      <c r="M514">
        <v>18867.599999999999</v>
      </c>
      <c r="N514">
        <v>2810.67</v>
      </c>
      <c r="O514" t="s">
        <v>42</v>
      </c>
    </row>
    <row r="515" spans="1:15" x14ac:dyDescent="0.25">
      <c r="A515" t="s">
        <v>585</v>
      </c>
      <c r="B515" s="1">
        <v>45710</v>
      </c>
      <c r="C515" t="s">
        <v>65</v>
      </c>
      <c r="D515" t="s">
        <v>82</v>
      </c>
      <c r="E515" t="s">
        <v>83</v>
      </c>
      <c r="F515" t="s">
        <v>72</v>
      </c>
      <c r="G515" t="s">
        <v>20</v>
      </c>
      <c r="H515" t="s">
        <v>77</v>
      </c>
      <c r="I515" t="s">
        <v>100</v>
      </c>
      <c r="J515">
        <v>9</v>
      </c>
      <c r="K515">
        <v>39561</v>
      </c>
      <c r="L515">
        <v>10</v>
      </c>
      <c r="M515">
        <v>320444.09999999998</v>
      </c>
      <c r="N515">
        <v>30006.1</v>
      </c>
      <c r="O515" t="s">
        <v>23</v>
      </c>
    </row>
    <row r="516" spans="1:15" x14ac:dyDescent="0.25">
      <c r="A516" t="s">
        <v>586</v>
      </c>
      <c r="B516" s="1">
        <v>45795</v>
      </c>
      <c r="C516" t="s">
        <v>65</v>
      </c>
      <c r="D516" t="s">
        <v>66</v>
      </c>
      <c r="E516" t="s">
        <v>67</v>
      </c>
      <c r="F516" t="s">
        <v>39</v>
      </c>
      <c r="G516" t="s">
        <v>20</v>
      </c>
      <c r="H516" t="s">
        <v>68</v>
      </c>
      <c r="I516" t="s">
        <v>90</v>
      </c>
      <c r="J516">
        <v>1</v>
      </c>
      <c r="K516">
        <v>68469</v>
      </c>
      <c r="L516">
        <v>5</v>
      </c>
      <c r="M516">
        <v>65045.55</v>
      </c>
      <c r="N516">
        <v>11685.07</v>
      </c>
      <c r="O516" t="s">
        <v>23</v>
      </c>
    </row>
    <row r="517" spans="1:15" x14ac:dyDescent="0.25">
      <c r="A517" t="s">
        <v>587</v>
      </c>
      <c r="B517" s="1">
        <v>45861</v>
      </c>
      <c r="C517" t="s">
        <v>65</v>
      </c>
      <c r="D517" t="s">
        <v>82</v>
      </c>
      <c r="E517" t="s">
        <v>83</v>
      </c>
      <c r="F517" t="s">
        <v>72</v>
      </c>
      <c r="G517" t="s">
        <v>20</v>
      </c>
      <c r="H517" t="s">
        <v>77</v>
      </c>
      <c r="I517" t="s">
        <v>78</v>
      </c>
      <c r="J517">
        <v>2</v>
      </c>
      <c r="K517">
        <v>50022</v>
      </c>
      <c r="L517">
        <v>0</v>
      </c>
      <c r="M517">
        <v>100044</v>
      </c>
      <c r="N517">
        <v>9106.2000000000007</v>
      </c>
      <c r="O517" t="s">
        <v>31</v>
      </c>
    </row>
    <row r="518" spans="1:15" x14ac:dyDescent="0.25">
      <c r="A518" t="s">
        <v>588</v>
      </c>
      <c r="B518" s="1">
        <v>45747</v>
      </c>
      <c r="C518" t="s">
        <v>16</v>
      </c>
      <c r="D518" t="s">
        <v>17</v>
      </c>
      <c r="E518" t="s">
        <v>18</v>
      </c>
      <c r="F518" t="s">
        <v>19</v>
      </c>
      <c r="G518" t="s">
        <v>28</v>
      </c>
      <c r="H518" t="s">
        <v>40</v>
      </c>
      <c r="I518" t="s">
        <v>41</v>
      </c>
      <c r="J518">
        <v>1</v>
      </c>
      <c r="K518">
        <v>72115</v>
      </c>
      <c r="L518">
        <v>20</v>
      </c>
      <c r="M518">
        <v>57692</v>
      </c>
      <c r="N518">
        <v>7994.77</v>
      </c>
      <c r="O518" t="s">
        <v>42</v>
      </c>
    </row>
    <row r="519" spans="1:15" x14ac:dyDescent="0.25">
      <c r="A519" t="s">
        <v>589</v>
      </c>
      <c r="B519" s="1">
        <v>45747</v>
      </c>
      <c r="C519" t="s">
        <v>25</v>
      </c>
      <c r="D519" t="s">
        <v>61</v>
      </c>
      <c r="E519" t="s">
        <v>62</v>
      </c>
      <c r="F519" t="s">
        <v>39</v>
      </c>
      <c r="G519" t="s">
        <v>28</v>
      </c>
      <c r="H519" t="s">
        <v>77</v>
      </c>
      <c r="I519" t="s">
        <v>100</v>
      </c>
      <c r="J519">
        <v>9</v>
      </c>
      <c r="K519">
        <v>48826</v>
      </c>
      <c r="L519">
        <v>5</v>
      </c>
      <c r="M519">
        <v>417462.3</v>
      </c>
      <c r="N519">
        <v>40434.050000000003</v>
      </c>
      <c r="O519" t="s">
        <v>42</v>
      </c>
    </row>
    <row r="520" spans="1:15" x14ac:dyDescent="0.25">
      <c r="A520" t="s">
        <v>590</v>
      </c>
      <c r="B520" s="1">
        <v>45930</v>
      </c>
      <c r="C520" t="s">
        <v>25</v>
      </c>
      <c r="D520" t="s">
        <v>26</v>
      </c>
      <c r="E520" t="s">
        <v>27</v>
      </c>
      <c r="F520" t="s">
        <v>47</v>
      </c>
      <c r="G520" t="s">
        <v>28</v>
      </c>
      <c r="H520" t="s">
        <v>68</v>
      </c>
      <c r="I520" t="s">
        <v>94</v>
      </c>
      <c r="J520">
        <v>5</v>
      </c>
      <c r="K520">
        <v>10796</v>
      </c>
      <c r="L520">
        <v>20</v>
      </c>
      <c r="M520">
        <v>43184</v>
      </c>
      <c r="N520">
        <v>9243.06</v>
      </c>
      <c r="O520" t="s">
        <v>31</v>
      </c>
    </row>
    <row r="521" spans="1:15" x14ac:dyDescent="0.25">
      <c r="A521" t="s">
        <v>591</v>
      </c>
      <c r="B521" s="1">
        <v>45807</v>
      </c>
      <c r="C521" t="s">
        <v>65</v>
      </c>
      <c r="D521" t="s">
        <v>66</v>
      </c>
      <c r="E521" t="s">
        <v>67</v>
      </c>
      <c r="F521" t="s">
        <v>52</v>
      </c>
      <c r="G521" t="s">
        <v>20</v>
      </c>
      <c r="H521" t="s">
        <v>77</v>
      </c>
      <c r="I521" t="s">
        <v>88</v>
      </c>
      <c r="J521">
        <v>9</v>
      </c>
      <c r="K521">
        <v>28143</v>
      </c>
      <c r="L521">
        <v>20</v>
      </c>
      <c r="M521">
        <v>202629.6</v>
      </c>
      <c r="N521">
        <v>33833.919999999998</v>
      </c>
      <c r="O521" t="s">
        <v>23</v>
      </c>
    </row>
    <row r="522" spans="1:15" x14ac:dyDescent="0.25">
      <c r="A522" t="s">
        <v>592</v>
      </c>
      <c r="B522" s="1">
        <v>45781</v>
      </c>
      <c r="C522" t="s">
        <v>65</v>
      </c>
      <c r="D522" t="s">
        <v>66</v>
      </c>
      <c r="E522" t="s">
        <v>67</v>
      </c>
      <c r="F522" t="s">
        <v>33</v>
      </c>
      <c r="G522" t="s">
        <v>20</v>
      </c>
      <c r="H522" t="s">
        <v>21</v>
      </c>
      <c r="I522" t="s">
        <v>56</v>
      </c>
      <c r="J522">
        <v>7</v>
      </c>
      <c r="K522">
        <v>4050</v>
      </c>
      <c r="L522">
        <v>10</v>
      </c>
      <c r="M522">
        <v>25515</v>
      </c>
      <c r="N522">
        <v>2244.7600000000002</v>
      </c>
      <c r="O522" t="s">
        <v>42</v>
      </c>
    </row>
    <row r="523" spans="1:15" x14ac:dyDescent="0.25">
      <c r="A523" t="s">
        <v>593</v>
      </c>
      <c r="B523" s="1">
        <v>45663</v>
      </c>
      <c r="C523" t="s">
        <v>65</v>
      </c>
      <c r="D523" t="s">
        <v>66</v>
      </c>
      <c r="E523" t="s">
        <v>67</v>
      </c>
      <c r="F523" t="s">
        <v>63</v>
      </c>
      <c r="G523" t="s">
        <v>28</v>
      </c>
      <c r="H523" t="s">
        <v>77</v>
      </c>
      <c r="I523" t="s">
        <v>88</v>
      </c>
      <c r="J523">
        <v>3</v>
      </c>
      <c r="K523">
        <v>13555</v>
      </c>
      <c r="L523">
        <v>15</v>
      </c>
      <c r="M523">
        <v>34565.25</v>
      </c>
      <c r="N523">
        <v>4042.56</v>
      </c>
      <c r="O523" t="s">
        <v>42</v>
      </c>
    </row>
    <row r="524" spans="1:15" x14ac:dyDescent="0.25">
      <c r="A524" t="s">
        <v>594</v>
      </c>
      <c r="B524" s="1">
        <v>45955</v>
      </c>
      <c r="C524" t="s">
        <v>65</v>
      </c>
      <c r="D524" t="s">
        <v>66</v>
      </c>
      <c r="E524" t="s">
        <v>67</v>
      </c>
      <c r="F524" t="s">
        <v>19</v>
      </c>
      <c r="G524" t="s">
        <v>20</v>
      </c>
      <c r="H524" t="s">
        <v>68</v>
      </c>
      <c r="I524" t="s">
        <v>94</v>
      </c>
      <c r="J524">
        <v>5</v>
      </c>
      <c r="K524">
        <v>58182</v>
      </c>
      <c r="L524">
        <v>0</v>
      </c>
      <c r="M524">
        <v>290910</v>
      </c>
      <c r="N524">
        <v>63488.4</v>
      </c>
      <c r="O524" t="s">
        <v>34</v>
      </c>
    </row>
    <row r="525" spans="1:15" x14ac:dyDescent="0.25">
      <c r="A525" t="s">
        <v>595</v>
      </c>
      <c r="B525" s="1">
        <v>45885</v>
      </c>
      <c r="C525" t="s">
        <v>65</v>
      </c>
      <c r="D525" t="s">
        <v>66</v>
      </c>
      <c r="E525" t="s">
        <v>67</v>
      </c>
      <c r="F525" t="s">
        <v>33</v>
      </c>
      <c r="G525" t="s">
        <v>20</v>
      </c>
      <c r="H525" t="s">
        <v>40</v>
      </c>
      <c r="I525" t="s">
        <v>59</v>
      </c>
      <c r="J525">
        <v>10</v>
      </c>
      <c r="K525">
        <v>38063</v>
      </c>
      <c r="L525">
        <v>15</v>
      </c>
      <c r="M525">
        <v>323535.5</v>
      </c>
      <c r="N525">
        <v>48144.45</v>
      </c>
      <c r="O525" t="s">
        <v>31</v>
      </c>
    </row>
    <row r="526" spans="1:15" x14ac:dyDescent="0.25">
      <c r="A526" t="s">
        <v>596</v>
      </c>
      <c r="B526" s="1">
        <v>45907</v>
      </c>
      <c r="C526" t="s">
        <v>16</v>
      </c>
      <c r="D526" t="s">
        <v>17</v>
      </c>
      <c r="E526" t="s">
        <v>18</v>
      </c>
      <c r="F526" t="s">
        <v>72</v>
      </c>
      <c r="G526" t="s">
        <v>20</v>
      </c>
      <c r="H526" t="s">
        <v>40</v>
      </c>
      <c r="I526" t="s">
        <v>80</v>
      </c>
      <c r="J526">
        <v>8</v>
      </c>
      <c r="K526">
        <v>71261</v>
      </c>
      <c r="L526">
        <v>10</v>
      </c>
      <c r="M526">
        <v>513079.2</v>
      </c>
      <c r="N526">
        <v>59504.63</v>
      </c>
      <c r="O526" t="s">
        <v>34</v>
      </c>
    </row>
    <row r="527" spans="1:15" x14ac:dyDescent="0.25">
      <c r="A527" t="s">
        <v>597</v>
      </c>
      <c r="B527" s="1">
        <v>45710</v>
      </c>
      <c r="C527" t="s">
        <v>16</v>
      </c>
      <c r="D527" t="s">
        <v>17</v>
      </c>
      <c r="E527" t="s">
        <v>18</v>
      </c>
      <c r="F527" t="s">
        <v>72</v>
      </c>
      <c r="G527" t="s">
        <v>28</v>
      </c>
      <c r="H527" t="s">
        <v>40</v>
      </c>
      <c r="I527" t="s">
        <v>41</v>
      </c>
      <c r="J527">
        <v>4</v>
      </c>
      <c r="K527">
        <v>37906</v>
      </c>
      <c r="L527">
        <v>5</v>
      </c>
      <c r="M527">
        <v>144042.79999999999</v>
      </c>
      <c r="N527">
        <v>23255.439999999999</v>
      </c>
      <c r="O527" t="s">
        <v>34</v>
      </c>
    </row>
    <row r="528" spans="1:15" x14ac:dyDescent="0.25">
      <c r="A528" t="s">
        <v>598</v>
      </c>
      <c r="B528" s="1">
        <v>45817</v>
      </c>
      <c r="C528" t="s">
        <v>65</v>
      </c>
      <c r="D528" t="s">
        <v>82</v>
      </c>
      <c r="E528" t="s">
        <v>83</v>
      </c>
      <c r="F528" t="s">
        <v>72</v>
      </c>
      <c r="G528" t="s">
        <v>28</v>
      </c>
      <c r="H528" t="s">
        <v>29</v>
      </c>
      <c r="I528" t="s">
        <v>48</v>
      </c>
      <c r="J528">
        <v>7</v>
      </c>
      <c r="K528">
        <v>24593</v>
      </c>
      <c r="L528">
        <v>20</v>
      </c>
      <c r="M528">
        <v>137720.79999999999</v>
      </c>
      <c r="N528">
        <v>19058.39</v>
      </c>
      <c r="O528" t="s">
        <v>23</v>
      </c>
    </row>
    <row r="529" spans="1:15" x14ac:dyDescent="0.25">
      <c r="A529" t="s">
        <v>599</v>
      </c>
      <c r="B529" s="1">
        <v>45825</v>
      </c>
      <c r="C529" t="s">
        <v>16</v>
      </c>
      <c r="D529" t="s">
        <v>44</v>
      </c>
      <c r="E529" t="s">
        <v>44</v>
      </c>
      <c r="F529" t="s">
        <v>93</v>
      </c>
      <c r="G529" t="s">
        <v>28</v>
      </c>
      <c r="H529" t="s">
        <v>29</v>
      </c>
      <c r="I529" t="s">
        <v>53</v>
      </c>
      <c r="J529">
        <v>4</v>
      </c>
      <c r="K529">
        <v>43737</v>
      </c>
      <c r="L529">
        <v>10</v>
      </c>
      <c r="M529">
        <v>157453.20000000001</v>
      </c>
      <c r="N529">
        <v>25935</v>
      </c>
      <c r="O529" t="s">
        <v>31</v>
      </c>
    </row>
    <row r="530" spans="1:15" x14ac:dyDescent="0.25">
      <c r="A530" t="s">
        <v>600</v>
      </c>
      <c r="B530" s="1">
        <v>45753</v>
      </c>
      <c r="C530" t="s">
        <v>16</v>
      </c>
      <c r="D530" t="s">
        <v>106</v>
      </c>
      <c r="E530" t="s">
        <v>107</v>
      </c>
      <c r="F530" t="s">
        <v>39</v>
      </c>
      <c r="G530" t="s">
        <v>28</v>
      </c>
      <c r="H530" t="s">
        <v>77</v>
      </c>
      <c r="I530" t="s">
        <v>88</v>
      </c>
      <c r="J530">
        <v>10</v>
      </c>
      <c r="K530">
        <v>42589</v>
      </c>
      <c r="L530">
        <v>0</v>
      </c>
      <c r="M530">
        <v>425890</v>
      </c>
      <c r="N530">
        <v>87880.78</v>
      </c>
      <c r="O530" t="s">
        <v>34</v>
      </c>
    </row>
    <row r="531" spans="1:15" x14ac:dyDescent="0.25">
      <c r="A531" t="s">
        <v>601</v>
      </c>
      <c r="B531" s="1">
        <v>45975</v>
      </c>
      <c r="C531" t="s">
        <v>16</v>
      </c>
      <c r="D531" t="s">
        <v>17</v>
      </c>
      <c r="E531" t="s">
        <v>18</v>
      </c>
      <c r="F531" t="s">
        <v>52</v>
      </c>
      <c r="G531" t="s">
        <v>28</v>
      </c>
      <c r="H531" t="s">
        <v>29</v>
      </c>
      <c r="I531" t="s">
        <v>30</v>
      </c>
      <c r="J531">
        <v>5</v>
      </c>
      <c r="K531">
        <v>53303</v>
      </c>
      <c r="L531">
        <v>0</v>
      </c>
      <c r="M531">
        <v>266515</v>
      </c>
      <c r="N531">
        <v>62968.160000000003</v>
      </c>
      <c r="O531" t="s">
        <v>23</v>
      </c>
    </row>
    <row r="532" spans="1:15" x14ac:dyDescent="0.25">
      <c r="A532" t="s">
        <v>602</v>
      </c>
      <c r="B532" s="1">
        <v>45957</v>
      </c>
      <c r="C532" t="s">
        <v>25</v>
      </c>
      <c r="D532" t="s">
        <v>26</v>
      </c>
      <c r="E532" t="s">
        <v>27</v>
      </c>
      <c r="F532" t="s">
        <v>93</v>
      </c>
      <c r="G532" t="s">
        <v>20</v>
      </c>
      <c r="H532" t="s">
        <v>21</v>
      </c>
      <c r="I532" t="s">
        <v>22</v>
      </c>
      <c r="J532">
        <v>1</v>
      </c>
      <c r="K532">
        <v>66869</v>
      </c>
      <c r="L532">
        <v>0</v>
      </c>
      <c r="M532">
        <v>66869</v>
      </c>
      <c r="N532">
        <v>11638.69</v>
      </c>
      <c r="O532" t="s">
        <v>23</v>
      </c>
    </row>
    <row r="533" spans="1:15" x14ac:dyDescent="0.25">
      <c r="A533" t="s">
        <v>603</v>
      </c>
      <c r="B533" s="1">
        <v>45796</v>
      </c>
      <c r="C533" t="s">
        <v>16</v>
      </c>
      <c r="D533" t="s">
        <v>44</v>
      </c>
      <c r="E533" t="s">
        <v>44</v>
      </c>
      <c r="F533" t="s">
        <v>47</v>
      </c>
      <c r="G533" t="s">
        <v>20</v>
      </c>
      <c r="H533" t="s">
        <v>77</v>
      </c>
      <c r="I533" t="s">
        <v>78</v>
      </c>
      <c r="J533">
        <v>9</v>
      </c>
      <c r="K533">
        <v>52642</v>
      </c>
      <c r="L533">
        <v>0</v>
      </c>
      <c r="M533">
        <v>473778</v>
      </c>
      <c r="N533">
        <v>100981.37</v>
      </c>
      <c r="O533" t="s">
        <v>34</v>
      </c>
    </row>
    <row r="534" spans="1:15" x14ac:dyDescent="0.25">
      <c r="A534" t="s">
        <v>604</v>
      </c>
      <c r="B534" s="1">
        <v>45759</v>
      </c>
      <c r="C534" t="s">
        <v>16</v>
      </c>
      <c r="D534" t="s">
        <v>44</v>
      </c>
      <c r="E534" t="s">
        <v>44</v>
      </c>
      <c r="F534" t="s">
        <v>19</v>
      </c>
      <c r="G534" t="s">
        <v>20</v>
      </c>
      <c r="H534" t="s">
        <v>21</v>
      </c>
      <c r="I534" t="s">
        <v>22</v>
      </c>
      <c r="J534">
        <v>8</v>
      </c>
      <c r="K534">
        <v>64130</v>
      </c>
      <c r="L534">
        <v>10</v>
      </c>
      <c r="M534">
        <v>461736</v>
      </c>
      <c r="N534">
        <v>81859.259999999995</v>
      </c>
      <c r="O534" t="s">
        <v>31</v>
      </c>
    </row>
    <row r="535" spans="1:15" x14ac:dyDescent="0.25">
      <c r="A535" t="s">
        <v>605</v>
      </c>
      <c r="B535" s="1">
        <v>45658</v>
      </c>
      <c r="C535" t="s">
        <v>36</v>
      </c>
      <c r="D535" t="s">
        <v>50</v>
      </c>
      <c r="E535" t="s">
        <v>51</v>
      </c>
      <c r="F535" t="s">
        <v>19</v>
      </c>
      <c r="G535" t="s">
        <v>28</v>
      </c>
      <c r="H535" t="s">
        <v>21</v>
      </c>
      <c r="I535" t="s">
        <v>56</v>
      </c>
      <c r="J535">
        <v>4</v>
      </c>
      <c r="K535">
        <v>76335</v>
      </c>
      <c r="L535">
        <v>20</v>
      </c>
      <c r="M535">
        <v>244272</v>
      </c>
      <c r="N535">
        <v>48153.55</v>
      </c>
      <c r="O535" t="s">
        <v>31</v>
      </c>
    </row>
    <row r="536" spans="1:15" x14ac:dyDescent="0.25">
      <c r="A536" t="s">
        <v>606</v>
      </c>
      <c r="B536" s="1">
        <v>45963</v>
      </c>
      <c r="C536" t="s">
        <v>36</v>
      </c>
      <c r="D536" t="s">
        <v>37</v>
      </c>
      <c r="E536" t="s">
        <v>38</v>
      </c>
      <c r="F536" t="s">
        <v>33</v>
      </c>
      <c r="G536" t="s">
        <v>28</v>
      </c>
      <c r="H536" t="s">
        <v>40</v>
      </c>
      <c r="I536" t="s">
        <v>41</v>
      </c>
      <c r="J536">
        <v>8</v>
      </c>
      <c r="K536">
        <v>66436</v>
      </c>
      <c r="L536">
        <v>10</v>
      </c>
      <c r="M536">
        <v>478339.2</v>
      </c>
      <c r="N536">
        <v>59060.72</v>
      </c>
      <c r="O536" t="s">
        <v>31</v>
      </c>
    </row>
    <row r="537" spans="1:15" x14ac:dyDescent="0.25">
      <c r="A537" t="s">
        <v>607</v>
      </c>
      <c r="B537" s="1">
        <v>45777</v>
      </c>
      <c r="C537" t="s">
        <v>25</v>
      </c>
      <c r="D537" t="s">
        <v>61</v>
      </c>
      <c r="E537" t="s">
        <v>62</v>
      </c>
      <c r="F537" t="s">
        <v>52</v>
      </c>
      <c r="G537" t="s">
        <v>20</v>
      </c>
      <c r="H537" t="s">
        <v>21</v>
      </c>
      <c r="I537" t="s">
        <v>45</v>
      </c>
      <c r="J537">
        <v>1</v>
      </c>
      <c r="K537">
        <v>62639</v>
      </c>
      <c r="L537">
        <v>5</v>
      </c>
      <c r="M537">
        <v>59507.05</v>
      </c>
      <c r="N537">
        <v>13806.73</v>
      </c>
      <c r="O537" t="s">
        <v>42</v>
      </c>
    </row>
    <row r="538" spans="1:15" x14ac:dyDescent="0.25">
      <c r="A538" t="s">
        <v>608</v>
      </c>
      <c r="B538" s="1">
        <v>45889</v>
      </c>
      <c r="C538" t="s">
        <v>36</v>
      </c>
      <c r="D538" t="s">
        <v>85</v>
      </c>
      <c r="E538" t="s">
        <v>86</v>
      </c>
      <c r="F538" t="s">
        <v>93</v>
      </c>
      <c r="G538" t="s">
        <v>28</v>
      </c>
      <c r="H538" t="s">
        <v>29</v>
      </c>
      <c r="I538" t="s">
        <v>48</v>
      </c>
      <c r="J538">
        <v>8</v>
      </c>
      <c r="K538">
        <v>47748</v>
      </c>
      <c r="L538">
        <v>15</v>
      </c>
      <c r="M538">
        <v>324686.40000000002</v>
      </c>
      <c r="N538">
        <v>61725.32</v>
      </c>
      <c r="O538" t="s">
        <v>42</v>
      </c>
    </row>
    <row r="539" spans="1:15" x14ac:dyDescent="0.25">
      <c r="A539" t="s">
        <v>609</v>
      </c>
      <c r="B539" s="1">
        <v>45726</v>
      </c>
      <c r="C539" t="s">
        <v>36</v>
      </c>
      <c r="D539" t="s">
        <v>50</v>
      </c>
      <c r="E539" t="s">
        <v>51</v>
      </c>
      <c r="F539" t="s">
        <v>19</v>
      </c>
      <c r="G539" t="s">
        <v>28</v>
      </c>
      <c r="H539" t="s">
        <v>21</v>
      </c>
      <c r="I539" t="s">
        <v>56</v>
      </c>
      <c r="J539">
        <v>3</v>
      </c>
      <c r="K539">
        <v>2469</v>
      </c>
      <c r="L539">
        <v>0</v>
      </c>
      <c r="M539">
        <v>7407</v>
      </c>
      <c r="N539">
        <v>1429.97</v>
      </c>
      <c r="O539" t="s">
        <v>23</v>
      </c>
    </row>
    <row r="540" spans="1:15" x14ac:dyDescent="0.25">
      <c r="A540" t="s">
        <v>610</v>
      </c>
      <c r="B540" s="1">
        <v>45722</v>
      </c>
      <c r="C540" t="s">
        <v>65</v>
      </c>
      <c r="D540" t="s">
        <v>82</v>
      </c>
      <c r="E540" t="s">
        <v>83</v>
      </c>
      <c r="F540" t="s">
        <v>63</v>
      </c>
      <c r="G540" t="s">
        <v>20</v>
      </c>
      <c r="H540" t="s">
        <v>40</v>
      </c>
      <c r="I540" t="s">
        <v>80</v>
      </c>
      <c r="J540">
        <v>10</v>
      </c>
      <c r="K540">
        <v>57330</v>
      </c>
      <c r="L540">
        <v>5</v>
      </c>
      <c r="M540">
        <v>544635</v>
      </c>
      <c r="N540">
        <v>114552.02</v>
      </c>
      <c r="O540" t="s">
        <v>42</v>
      </c>
    </row>
    <row r="541" spans="1:15" x14ac:dyDescent="0.25">
      <c r="A541" t="s">
        <v>611</v>
      </c>
      <c r="B541" s="1">
        <v>45679</v>
      </c>
      <c r="C541" t="s">
        <v>65</v>
      </c>
      <c r="D541" t="s">
        <v>66</v>
      </c>
      <c r="E541" t="s">
        <v>67</v>
      </c>
      <c r="F541" t="s">
        <v>63</v>
      </c>
      <c r="G541" t="s">
        <v>28</v>
      </c>
      <c r="H541" t="s">
        <v>40</v>
      </c>
      <c r="I541" t="s">
        <v>80</v>
      </c>
      <c r="J541">
        <v>7</v>
      </c>
      <c r="K541">
        <v>48879</v>
      </c>
      <c r="L541">
        <v>20</v>
      </c>
      <c r="M541">
        <v>273722.40000000002</v>
      </c>
      <c r="N541">
        <v>32517.53</v>
      </c>
      <c r="O541" t="s">
        <v>42</v>
      </c>
    </row>
    <row r="542" spans="1:15" x14ac:dyDescent="0.25">
      <c r="A542" t="s">
        <v>612</v>
      </c>
      <c r="B542" s="1">
        <v>45767</v>
      </c>
      <c r="C542" t="s">
        <v>25</v>
      </c>
      <c r="D542" t="s">
        <v>26</v>
      </c>
      <c r="E542" t="s">
        <v>27</v>
      </c>
      <c r="F542" t="s">
        <v>72</v>
      </c>
      <c r="G542" t="s">
        <v>20</v>
      </c>
      <c r="H542" t="s">
        <v>68</v>
      </c>
      <c r="I542" t="s">
        <v>94</v>
      </c>
      <c r="J542">
        <v>10</v>
      </c>
      <c r="K542">
        <v>73238</v>
      </c>
      <c r="L542">
        <v>5</v>
      </c>
      <c r="M542">
        <v>695761</v>
      </c>
      <c r="N542">
        <v>93686.7</v>
      </c>
      <c r="O542" t="s">
        <v>34</v>
      </c>
    </row>
    <row r="543" spans="1:15" x14ac:dyDescent="0.25">
      <c r="A543" t="s">
        <v>613</v>
      </c>
      <c r="B543" s="1">
        <v>45694</v>
      </c>
      <c r="C543" t="s">
        <v>25</v>
      </c>
      <c r="D543" t="s">
        <v>26</v>
      </c>
      <c r="E543" t="s">
        <v>27</v>
      </c>
      <c r="F543" t="s">
        <v>72</v>
      </c>
      <c r="G543" t="s">
        <v>28</v>
      </c>
      <c r="H543" t="s">
        <v>40</v>
      </c>
      <c r="I543" t="s">
        <v>80</v>
      </c>
      <c r="J543">
        <v>10</v>
      </c>
      <c r="K543">
        <v>20723</v>
      </c>
      <c r="L543">
        <v>5</v>
      </c>
      <c r="M543">
        <v>196868.5</v>
      </c>
      <c r="N543">
        <v>17202.560000000001</v>
      </c>
      <c r="O543" t="s">
        <v>42</v>
      </c>
    </row>
    <row r="544" spans="1:15" x14ac:dyDescent="0.25">
      <c r="A544" t="s">
        <v>614</v>
      </c>
      <c r="B544" s="1">
        <v>45753</v>
      </c>
      <c r="C544" t="s">
        <v>16</v>
      </c>
      <c r="D544" t="s">
        <v>44</v>
      </c>
      <c r="E544" t="s">
        <v>44</v>
      </c>
      <c r="F544" t="s">
        <v>39</v>
      </c>
      <c r="G544" t="s">
        <v>28</v>
      </c>
      <c r="H544" t="s">
        <v>29</v>
      </c>
      <c r="I544" t="s">
        <v>53</v>
      </c>
      <c r="J544">
        <v>6</v>
      </c>
      <c r="K544">
        <v>55468</v>
      </c>
      <c r="L544">
        <v>15</v>
      </c>
      <c r="M544">
        <v>282886.8</v>
      </c>
      <c r="N544">
        <v>45076.73</v>
      </c>
      <c r="O544" t="s">
        <v>42</v>
      </c>
    </row>
    <row r="545" spans="1:15" x14ac:dyDescent="0.25">
      <c r="A545" t="s">
        <v>615</v>
      </c>
      <c r="B545" s="1">
        <v>45765</v>
      </c>
      <c r="C545" t="s">
        <v>36</v>
      </c>
      <c r="D545" t="s">
        <v>85</v>
      </c>
      <c r="E545" t="s">
        <v>86</v>
      </c>
      <c r="F545" t="s">
        <v>47</v>
      </c>
      <c r="G545" t="s">
        <v>20</v>
      </c>
      <c r="H545" t="s">
        <v>40</v>
      </c>
      <c r="I545" t="s">
        <v>41</v>
      </c>
      <c r="J545">
        <v>3</v>
      </c>
      <c r="K545">
        <v>16713</v>
      </c>
      <c r="L545">
        <v>10</v>
      </c>
      <c r="M545">
        <v>45125.1</v>
      </c>
      <c r="N545">
        <v>9673.2099999999991</v>
      </c>
      <c r="O545" t="s">
        <v>31</v>
      </c>
    </row>
    <row r="546" spans="1:15" x14ac:dyDescent="0.25">
      <c r="A546" t="s">
        <v>616</v>
      </c>
      <c r="B546" s="1">
        <v>45868</v>
      </c>
      <c r="C546" t="s">
        <v>16</v>
      </c>
      <c r="D546" t="s">
        <v>44</v>
      </c>
      <c r="E546" t="s">
        <v>44</v>
      </c>
      <c r="F546" t="s">
        <v>39</v>
      </c>
      <c r="G546" t="s">
        <v>28</v>
      </c>
      <c r="H546" t="s">
        <v>40</v>
      </c>
      <c r="I546" t="s">
        <v>80</v>
      </c>
      <c r="J546">
        <v>7</v>
      </c>
      <c r="K546">
        <v>2338</v>
      </c>
      <c r="L546">
        <v>15</v>
      </c>
      <c r="M546">
        <v>13911.1</v>
      </c>
      <c r="N546">
        <v>3008.95</v>
      </c>
      <c r="O546" t="s">
        <v>34</v>
      </c>
    </row>
    <row r="547" spans="1:15" x14ac:dyDescent="0.25">
      <c r="A547" t="s">
        <v>617</v>
      </c>
      <c r="B547" s="1">
        <v>45908</v>
      </c>
      <c r="C547" t="s">
        <v>25</v>
      </c>
      <c r="D547" t="s">
        <v>26</v>
      </c>
      <c r="E547" t="s">
        <v>27</v>
      </c>
      <c r="F547" t="s">
        <v>33</v>
      </c>
      <c r="G547" t="s">
        <v>20</v>
      </c>
      <c r="H547" t="s">
        <v>40</v>
      </c>
      <c r="I547" t="s">
        <v>80</v>
      </c>
      <c r="J547">
        <v>1</v>
      </c>
      <c r="K547">
        <v>46635</v>
      </c>
      <c r="L547">
        <v>10</v>
      </c>
      <c r="M547">
        <v>41971.5</v>
      </c>
      <c r="N547">
        <v>6129.71</v>
      </c>
      <c r="O547" t="s">
        <v>42</v>
      </c>
    </row>
    <row r="548" spans="1:15" x14ac:dyDescent="0.25">
      <c r="A548" t="s">
        <v>618</v>
      </c>
      <c r="B548" s="1">
        <v>45790</v>
      </c>
      <c r="C548" t="s">
        <v>16</v>
      </c>
      <c r="D548" t="s">
        <v>106</v>
      </c>
      <c r="E548" t="s">
        <v>107</v>
      </c>
      <c r="F548" t="s">
        <v>93</v>
      </c>
      <c r="G548" t="s">
        <v>28</v>
      </c>
      <c r="H548" t="s">
        <v>77</v>
      </c>
      <c r="I548" t="s">
        <v>100</v>
      </c>
      <c r="J548">
        <v>9</v>
      </c>
      <c r="K548">
        <v>6631</v>
      </c>
      <c r="L548">
        <v>20</v>
      </c>
      <c r="M548">
        <v>47743.199999999997</v>
      </c>
      <c r="N548">
        <v>6926.59</v>
      </c>
      <c r="O548" t="s">
        <v>42</v>
      </c>
    </row>
    <row r="549" spans="1:15" x14ac:dyDescent="0.25">
      <c r="A549" t="s">
        <v>619</v>
      </c>
      <c r="B549" s="1">
        <v>45955</v>
      </c>
      <c r="C549" t="s">
        <v>16</v>
      </c>
      <c r="D549" t="s">
        <v>106</v>
      </c>
      <c r="E549" t="s">
        <v>107</v>
      </c>
      <c r="F549" t="s">
        <v>19</v>
      </c>
      <c r="G549" t="s">
        <v>28</v>
      </c>
      <c r="H549" t="s">
        <v>21</v>
      </c>
      <c r="I549" t="s">
        <v>22</v>
      </c>
      <c r="J549">
        <v>8</v>
      </c>
      <c r="K549">
        <v>36076</v>
      </c>
      <c r="L549">
        <v>20</v>
      </c>
      <c r="M549">
        <v>230886.39999999999</v>
      </c>
      <c r="N549">
        <v>18945.75</v>
      </c>
      <c r="O549" t="s">
        <v>31</v>
      </c>
    </row>
    <row r="550" spans="1:15" x14ac:dyDescent="0.25">
      <c r="A550" t="s">
        <v>620</v>
      </c>
      <c r="B550" s="1">
        <v>45748</v>
      </c>
      <c r="C550" t="s">
        <v>65</v>
      </c>
      <c r="D550" t="s">
        <v>66</v>
      </c>
      <c r="E550" t="s">
        <v>67</v>
      </c>
      <c r="F550" t="s">
        <v>52</v>
      </c>
      <c r="G550" t="s">
        <v>28</v>
      </c>
      <c r="H550" t="s">
        <v>29</v>
      </c>
      <c r="I550" t="s">
        <v>30</v>
      </c>
      <c r="J550">
        <v>5</v>
      </c>
      <c r="K550">
        <v>48885</v>
      </c>
      <c r="L550">
        <v>5</v>
      </c>
      <c r="M550">
        <v>232203.75</v>
      </c>
      <c r="N550">
        <v>21512.26</v>
      </c>
      <c r="O550" t="s">
        <v>42</v>
      </c>
    </row>
    <row r="551" spans="1:15" x14ac:dyDescent="0.25">
      <c r="A551" t="s">
        <v>621</v>
      </c>
      <c r="B551" s="1">
        <v>45945</v>
      </c>
      <c r="C551" t="s">
        <v>25</v>
      </c>
      <c r="D551" t="s">
        <v>26</v>
      </c>
      <c r="E551" t="s">
        <v>27</v>
      </c>
      <c r="F551" t="s">
        <v>63</v>
      </c>
      <c r="G551" t="s">
        <v>20</v>
      </c>
      <c r="H551" t="s">
        <v>68</v>
      </c>
      <c r="I551" t="s">
        <v>90</v>
      </c>
      <c r="J551">
        <v>2</v>
      </c>
      <c r="K551">
        <v>65984</v>
      </c>
      <c r="L551">
        <v>5</v>
      </c>
      <c r="M551">
        <v>125369.60000000001</v>
      </c>
      <c r="N551">
        <v>21003.68</v>
      </c>
      <c r="O551" t="s">
        <v>23</v>
      </c>
    </row>
    <row r="552" spans="1:15" x14ac:dyDescent="0.25">
      <c r="A552" t="s">
        <v>622</v>
      </c>
      <c r="B552" s="1">
        <v>45744</v>
      </c>
      <c r="C552" t="s">
        <v>25</v>
      </c>
      <c r="D552" t="s">
        <v>61</v>
      </c>
      <c r="E552" t="s">
        <v>62</v>
      </c>
      <c r="F552" t="s">
        <v>63</v>
      </c>
      <c r="G552" t="s">
        <v>20</v>
      </c>
      <c r="H552" t="s">
        <v>68</v>
      </c>
      <c r="I552" t="s">
        <v>90</v>
      </c>
      <c r="J552">
        <v>6</v>
      </c>
      <c r="K552">
        <v>35135</v>
      </c>
      <c r="L552">
        <v>0</v>
      </c>
      <c r="M552">
        <v>210810</v>
      </c>
      <c r="N552">
        <v>25568.400000000001</v>
      </c>
      <c r="O552" t="s">
        <v>23</v>
      </c>
    </row>
    <row r="553" spans="1:15" x14ac:dyDescent="0.25">
      <c r="A553" t="s">
        <v>623</v>
      </c>
      <c r="B553" s="1">
        <v>45867</v>
      </c>
      <c r="C553" t="s">
        <v>36</v>
      </c>
      <c r="D553" t="s">
        <v>37</v>
      </c>
      <c r="E553" t="s">
        <v>38</v>
      </c>
      <c r="F553" t="s">
        <v>93</v>
      </c>
      <c r="G553" t="s">
        <v>28</v>
      </c>
      <c r="H553" t="s">
        <v>29</v>
      </c>
      <c r="I553" t="s">
        <v>53</v>
      </c>
      <c r="J553">
        <v>4</v>
      </c>
      <c r="K553">
        <v>40373</v>
      </c>
      <c r="L553">
        <v>5</v>
      </c>
      <c r="M553">
        <v>153417.4</v>
      </c>
      <c r="N553">
        <v>34471.67</v>
      </c>
      <c r="O553" t="s">
        <v>34</v>
      </c>
    </row>
    <row r="554" spans="1:15" x14ac:dyDescent="0.25">
      <c r="A554" t="s">
        <v>624</v>
      </c>
      <c r="B554" s="1">
        <v>45822</v>
      </c>
      <c r="C554" t="s">
        <v>36</v>
      </c>
      <c r="D554" t="s">
        <v>37</v>
      </c>
      <c r="E554" t="s">
        <v>38</v>
      </c>
      <c r="F554" t="s">
        <v>72</v>
      </c>
      <c r="G554" t="s">
        <v>28</v>
      </c>
      <c r="H554" t="s">
        <v>77</v>
      </c>
      <c r="I554" t="s">
        <v>88</v>
      </c>
      <c r="J554">
        <v>8</v>
      </c>
      <c r="K554">
        <v>67880</v>
      </c>
      <c r="L554">
        <v>20</v>
      </c>
      <c r="M554">
        <v>434432</v>
      </c>
      <c r="N554">
        <v>65240.88</v>
      </c>
      <c r="O554" t="s">
        <v>42</v>
      </c>
    </row>
    <row r="555" spans="1:15" x14ac:dyDescent="0.25">
      <c r="A555" t="s">
        <v>625</v>
      </c>
      <c r="B555" s="1">
        <v>45698</v>
      </c>
      <c r="C555" t="s">
        <v>65</v>
      </c>
      <c r="D555" t="s">
        <v>82</v>
      </c>
      <c r="E555" t="s">
        <v>83</v>
      </c>
      <c r="F555" t="s">
        <v>63</v>
      </c>
      <c r="G555" t="s">
        <v>20</v>
      </c>
      <c r="H555" t="s">
        <v>21</v>
      </c>
      <c r="I555" t="s">
        <v>56</v>
      </c>
      <c r="J555">
        <v>3</v>
      </c>
      <c r="K555">
        <v>1325</v>
      </c>
      <c r="L555">
        <v>10</v>
      </c>
      <c r="M555">
        <v>3577.5</v>
      </c>
      <c r="N555">
        <v>641.05999999999995</v>
      </c>
      <c r="O555" t="s">
        <v>34</v>
      </c>
    </row>
    <row r="556" spans="1:15" x14ac:dyDescent="0.25">
      <c r="A556" t="s">
        <v>626</v>
      </c>
      <c r="B556" s="1">
        <v>45702</v>
      </c>
      <c r="C556" t="s">
        <v>65</v>
      </c>
      <c r="D556" t="s">
        <v>66</v>
      </c>
      <c r="E556" t="s">
        <v>67</v>
      </c>
      <c r="F556" t="s">
        <v>52</v>
      </c>
      <c r="G556" t="s">
        <v>28</v>
      </c>
      <c r="H556" t="s">
        <v>21</v>
      </c>
      <c r="I556" t="s">
        <v>22</v>
      </c>
      <c r="J556">
        <v>3</v>
      </c>
      <c r="K556">
        <v>41957</v>
      </c>
      <c r="L556">
        <v>15</v>
      </c>
      <c r="M556">
        <v>106990.35</v>
      </c>
      <c r="N556">
        <v>25029.91</v>
      </c>
      <c r="O556" t="s">
        <v>23</v>
      </c>
    </row>
    <row r="557" spans="1:15" x14ac:dyDescent="0.25">
      <c r="A557" t="s">
        <v>627</v>
      </c>
      <c r="B557" s="1">
        <v>45812</v>
      </c>
      <c r="C557" t="s">
        <v>36</v>
      </c>
      <c r="D557" t="s">
        <v>37</v>
      </c>
      <c r="E557" t="s">
        <v>38</v>
      </c>
      <c r="F557" t="s">
        <v>72</v>
      </c>
      <c r="G557" t="s">
        <v>28</v>
      </c>
      <c r="H557" t="s">
        <v>21</v>
      </c>
      <c r="I557" t="s">
        <v>22</v>
      </c>
      <c r="J557">
        <v>7</v>
      </c>
      <c r="K557">
        <v>45847</v>
      </c>
      <c r="L557">
        <v>10</v>
      </c>
      <c r="M557">
        <v>288836.09999999998</v>
      </c>
      <c r="N557">
        <v>41868.519999999997</v>
      </c>
      <c r="O557" t="s">
        <v>34</v>
      </c>
    </row>
    <row r="558" spans="1:15" x14ac:dyDescent="0.25">
      <c r="A558" t="s">
        <v>628</v>
      </c>
      <c r="B558" s="1">
        <v>45793</v>
      </c>
      <c r="C558" t="s">
        <v>25</v>
      </c>
      <c r="D558" t="s">
        <v>61</v>
      </c>
      <c r="E558" t="s">
        <v>62</v>
      </c>
      <c r="F558" t="s">
        <v>63</v>
      </c>
      <c r="G558" t="s">
        <v>20</v>
      </c>
      <c r="H558" t="s">
        <v>68</v>
      </c>
      <c r="I558" t="s">
        <v>94</v>
      </c>
      <c r="J558">
        <v>1</v>
      </c>
      <c r="K558">
        <v>67593</v>
      </c>
      <c r="L558">
        <v>10</v>
      </c>
      <c r="M558">
        <v>60833.7</v>
      </c>
      <c r="N558">
        <v>8824.14</v>
      </c>
      <c r="O558" t="s">
        <v>23</v>
      </c>
    </row>
    <row r="559" spans="1:15" x14ac:dyDescent="0.25">
      <c r="A559" t="s">
        <v>629</v>
      </c>
      <c r="B559" s="1">
        <v>45808</v>
      </c>
      <c r="C559" t="s">
        <v>65</v>
      </c>
      <c r="D559" t="s">
        <v>82</v>
      </c>
      <c r="E559" t="s">
        <v>83</v>
      </c>
      <c r="F559" t="s">
        <v>19</v>
      </c>
      <c r="G559" t="s">
        <v>20</v>
      </c>
      <c r="H559" t="s">
        <v>21</v>
      </c>
      <c r="I559" t="s">
        <v>22</v>
      </c>
      <c r="J559">
        <v>3</v>
      </c>
      <c r="K559">
        <v>26334</v>
      </c>
      <c r="L559">
        <v>20</v>
      </c>
      <c r="M559">
        <v>63201.599999999999</v>
      </c>
      <c r="N559">
        <v>14192.89</v>
      </c>
      <c r="O559" t="s">
        <v>23</v>
      </c>
    </row>
    <row r="560" spans="1:15" x14ac:dyDescent="0.25">
      <c r="A560" t="s">
        <v>630</v>
      </c>
      <c r="B560" s="1">
        <v>45891</v>
      </c>
      <c r="C560" t="s">
        <v>16</v>
      </c>
      <c r="D560" t="s">
        <v>106</v>
      </c>
      <c r="E560" t="s">
        <v>107</v>
      </c>
      <c r="F560" t="s">
        <v>39</v>
      </c>
      <c r="G560" t="s">
        <v>28</v>
      </c>
      <c r="H560" t="s">
        <v>29</v>
      </c>
      <c r="I560" t="s">
        <v>53</v>
      </c>
      <c r="J560">
        <v>4</v>
      </c>
      <c r="K560">
        <v>24497</v>
      </c>
      <c r="L560">
        <v>5</v>
      </c>
      <c r="M560">
        <v>93088.6</v>
      </c>
      <c r="N560">
        <v>9698.09</v>
      </c>
      <c r="O560" t="s">
        <v>42</v>
      </c>
    </row>
    <row r="561" spans="1:15" x14ac:dyDescent="0.25">
      <c r="A561" t="s">
        <v>631</v>
      </c>
      <c r="B561" s="1">
        <v>45796</v>
      </c>
      <c r="C561" t="s">
        <v>36</v>
      </c>
      <c r="D561" t="s">
        <v>85</v>
      </c>
      <c r="E561" t="s">
        <v>86</v>
      </c>
      <c r="F561" t="s">
        <v>52</v>
      </c>
      <c r="G561" t="s">
        <v>20</v>
      </c>
      <c r="H561" t="s">
        <v>68</v>
      </c>
      <c r="I561" t="s">
        <v>90</v>
      </c>
      <c r="J561">
        <v>7</v>
      </c>
      <c r="K561">
        <v>74000</v>
      </c>
      <c r="L561">
        <v>20</v>
      </c>
      <c r="M561">
        <v>414400</v>
      </c>
      <c r="N561">
        <v>94112.42</v>
      </c>
      <c r="O561" t="s">
        <v>23</v>
      </c>
    </row>
    <row r="562" spans="1:15" x14ac:dyDescent="0.25">
      <c r="A562" t="s">
        <v>632</v>
      </c>
      <c r="B562" s="1">
        <v>45855</v>
      </c>
      <c r="C562" t="s">
        <v>65</v>
      </c>
      <c r="D562" t="s">
        <v>66</v>
      </c>
      <c r="E562" t="s">
        <v>67</v>
      </c>
      <c r="F562" t="s">
        <v>19</v>
      </c>
      <c r="G562" t="s">
        <v>20</v>
      </c>
      <c r="H562" t="s">
        <v>21</v>
      </c>
      <c r="I562" t="s">
        <v>45</v>
      </c>
      <c r="J562">
        <v>3</v>
      </c>
      <c r="K562">
        <v>50179</v>
      </c>
      <c r="L562">
        <v>20</v>
      </c>
      <c r="M562">
        <v>120429.6</v>
      </c>
      <c r="N562">
        <v>20465.349999999999</v>
      </c>
      <c r="O562" t="s">
        <v>42</v>
      </c>
    </row>
    <row r="563" spans="1:15" x14ac:dyDescent="0.25">
      <c r="A563" t="s">
        <v>633</v>
      </c>
      <c r="B563" s="1">
        <v>45936</v>
      </c>
      <c r="C563" t="s">
        <v>25</v>
      </c>
      <c r="D563" t="s">
        <v>61</v>
      </c>
      <c r="E563" t="s">
        <v>62</v>
      </c>
      <c r="F563" t="s">
        <v>63</v>
      </c>
      <c r="G563" t="s">
        <v>28</v>
      </c>
      <c r="H563" t="s">
        <v>77</v>
      </c>
      <c r="I563" t="s">
        <v>78</v>
      </c>
      <c r="J563">
        <v>4</v>
      </c>
      <c r="K563">
        <v>525</v>
      </c>
      <c r="L563">
        <v>20</v>
      </c>
      <c r="M563">
        <v>1680</v>
      </c>
      <c r="N563">
        <v>151.21</v>
      </c>
      <c r="O563" t="s">
        <v>34</v>
      </c>
    </row>
    <row r="564" spans="1:15" x14ac:dyDescent="0.25">
      <c r="A564" t="s">
        <v>634</v>
      </c>
      <c r="B564" s="1">
        <v>45974</v>
      </c>
      <c r="C564" t="s">
        <v>25</v>
      </c>
      <c r="D564" t="s">
        <v>26</v>
      </c>
      <c r="E564" t="s">
        <v>27</v>
      </c>
      <c r="F564" t="s">
        <v>93</v>
      </c>
      <c r="G564" t="s">
        <v>20</v>
      </c>
      <c r="H564" t="s">
        <v>77</v>
      </c>
      <c r="I564" t="s">
        <v>100</v>
      </c>
      <c r="J564">
        <v>7</v>
      </c>
      <c r="K564">
        <v>61107</v>
      </c>
      <c r="L564">
        <v>20</v>
      </c>
      <c r="M564">
        <v>342199.2</v>
      </c>
      <c r="N564">
        <v>48208.71</v>
      </c>
      <c r="O564" t="s">
        <v>23</v>
      </c>
    </row>
    <row r="565" spans="1:15" x14ac:dyDescent="0.25">
      <c r="A565" t="s">
        <v>635</v>
      </c>
      <c r="B565" s="1">
        <v>45772</v>
      </c>
      <c r="C565" t="s">
        <v>16</v>
      </c>
      <c r="D565" t="s">
        <v>106</v>
      </c>
      <c r="E565" t="s">
        <v>107</v>
      </c>
      <c r="F565" t="s">
        <v>19</v>
      </c>
      <c r="G565" t="s">
        <v>28</v>
      </c>
      <c r="H565" t="s">
        <v>77</v>
      </c>
      <c r="I565" t="s">
        <v>100</v>
      </c>
      <c r="J565">
        <v>9</v>
      </c>
      <c r="K565">
        <v>48635</v>
      </c>
      <c r="L565">
        <v>15</v>
      </c>
      <c r="M565">
        <v>372057.75</v>
      </c>
      <c r="N565">
        <v>79694.47</v>
      </c>
      <c r="O565" t="s">
        <v>34</v>
      </c>
    </row>
    <row r="566" spans="1:15" x14ac:dyDescent="0.25">
      <c r="A566" t="s">
        <v>636</v>
      </c>
      <c r="B566" s="1">
        <v>45947</v>
      </c>
      <c r="C566" t="s">
        <v>16</v>
      </c>
      <c r="D566" t="s">
        <v>44</v>
      </c>
      <c r="E566" t="s">
        <v>44</v>
      </c>
      <c r="F566" t="s">
        <v>47</v>
      </c>
      <c r="G566" t="s">
        <v>20</v>
      </c>
      <c r="H566" t="s">
        <v>77</v>
      </c>
      <c r="I566" t="s">
        <v>88</v>
      </c>
      <c r="J566">
        <v>5</v>
      </c>
      <c r="K566">
        <v>12120</v>
      </c>
      <c r="L566">
        <v>15</v>
      </c>
      <c r="M566">
        <v>51510</v>
      </c>
      <c r="N566">
        <v>11486.02</v>
      </c>
      <c r="O566" t="s">
        <v>31</v>
      </c>
    </row>
    <row r="567" spans="1:15" x14ac:dyDescent="0.25">
      <c r="A567" t="s">
        <v>637</v>
      </c>
      <c r="B567" s="1">
        <v>45760</v>
      </c>
      <c r="C567" t="s">
        <v>36</v>
      </c>
      <c r="D567" t="s">
        <v>37</v>
      </c>
      <c r="E567" t="s">
        <v>38</v>
      </c>
      <c r="F567" t="s">
        <v>19</v>
      </c>
      <c r="G567" t="s">
        <v>28</v>
      </c>
      <c r="H567" t="s">
        <v>21</v>
      </c>
      <c r="I567" t="s">
        <v>22</v>
      </c>
      <c r="J567">
        <v>3</v>
      </c>
      <c r="K567">
        <v>6704</v>
      </c>
      <c r="L567">
        <v>0</v>
      </c>
      <c r="M567">
        <v>20112</v>
      </c>
      <c r="N567">
        <v>4998.3</v>
      </c>
      <c r="O567" t="s">
        <v>34</v>
      </c>
    </row>
    <row r="568" spans="1:15" x14ac:dyDescent="0.25">
      <c r="A568" t="s">
        <v>638</v>
      </c>
      <c r="B568" s="1">
        <v>45684</v>
      </c>
      <c r="C568" t="s">
        <v>65</v>
      </c>
      <c r="D568" t="s">
        <v>66</v>
      </c>
      <c r="E568" t="s">
        <v>67</v>
      </c>
      <c r="F568" t="s">
        <v>33</v>
      </c>
      <c r="G568" t="s">
        <v>20</v>
      </c>
      <c r="H568" t="s">
        <v>77</v>
      </c>
      <c r="I568" t="s">
        <v>78</v>
      </c>
      <c r="J568">
        <v>6</v>
      </c>
      <c r="K568">
        <v>73583</v>
      </c>
      <c r="L568">
        <v>0</v>
      </c>
      <c r="M568">
        <v>441498</v>
      </c>
      <c r="N568">
        <v>94869.23</v>
      </c>
      <c r="O568" t="s">
        <v>23</v>
      </c>
    </row>
    <row r="569" spans="1:15" x14ac:dyDescent="0.25">
      <c r="A569" t="s">
        <v>639</v>
      </c>
      <c r="B569" s="1">
        <v>45689</v>
      </c>
      <c r="C569" t="s">
        <v>25</v>
      </c>
      <c r="D569" t="s">
        <v>26</v>
      </c>
      <c r="E569" t="s">
        <v>27</v>
      </c>
      <c r="F569" t="s">
        <v>33</v>
      </c>
      <c r="G569" t="s">
        <v>20</v>
      </c>
      <c r="H569" t="s">
        <v>29</v>
      </c>
      <c r="I569" t="s">
        <v>30</v>
      </c>
      <c r="J569">
        <v>2</v>
      </c>
      <c r="K569">
        <v>61710</v>
      </c>
      <c r="L569">
        <v>20</v>
      </c>
      <c r="M569">
        <v>98736</v>
      </c>
      <c r="N569">
        <v>22864.61</v>
      </c>
      <c r="O569" t="s">
        <v>23</v>
      </c>
    </row>
    <row r="570" spans="1:15" x14ac:dyDescent="0.25">
      <c r="A570" t="s">
        <v>640</v>
      </c>
      <c r="B570" s="1">
        <v>45847</v>
      </c>
      <c r="C570" t="s">
        <v>36</v>
      </c>
      <c r="D570" t="s">
        <v>37</v>
      </c>
      <c r="E570" t="s">
        <v>38</v>
      </c>
      <c r="F570" t="s">
        <v>52</v>
      </c>
      <c r="G570" t="s">
        <v>28</v>
      </c>
      <c r="H570" t="s">
        <v>29</v>
      </c>
      <c r="I570" t="s">
        <v>48</v>
      </c>
      <c r="J570">
        <v>8</v>
      </c>
      <c r="K570">
        <v>2836</v>
      </c>
      <c r="L570">
        <v>0</v>
      </c>
      <c r="M570">
        <v>22688</v>
      </c>
      <c r="N570">
        <v>4255.12</v>
      </c>
      <c r="O570" t="s">
        <v>42</v>
      </c>
    </row>
    <row r="571" spans="1:15" x14ac:dyDescent="0.25">
      <c r="A571" t="s">
        <v>641</v>
      </c>
      <c r="B571" s="1">
        <v>45952</v>
      </c>
      <c r="C571" t="s">
        <v>16</v>
      </c>
      <c r="D571" t="s">
        <v>44</v>
      </c>
      <c r="E571" t="s">
        <v>44</v>
      </c>
      <c r="F571" t="s">
        <v>47</v>
      </c>
      <c r="G571" t="s">
        <v>20</v>
      </c>
      <c r="H571" t="s">
        <v>29</v>
      </c>
      <c r="I571" t="s">
        <v>48</v>
      </c>
      <c r="J571">
        <v>9</v>
      </c>
      <c r="K571">
        <v>4684</v>
      </c>
      <c r="L571">
        <v>5</v>
      </c>
      <c r="M571">
        <v>40048.199999999997</v>
      </c>
      <c r="N571">
        <v>3480.72</v>
      </c>
      <c r="O571" t="s">
        <v>31</v>
      </c>
    </row>
    <row r="572" spans="1:15" x14ac:dyDescent="0.25">
      <c r="A572" t="s">
        <v>642</v>
      </c>
      <c r="B572" s="1">
        <v>45677</v>
      </c>
      <c r="C572" t="s">
        <v>65</v>
      </c>
      <c r="D572" t="s">
        <v>66</v>
      </c>
      <c r="E572" t="s">
        <v>67</v>
      </c>
      <c r="F572" t="s">
        <v>93</v>
      </c>
      <c r="G572" t="s">
        <v>28</v>
      </c>
      <c r="H572" t="s">
        <v>29</v>
      </c>
      <c r="I572" t="s">
        <v>48</v>
      </c>
      <c r="J572">
        <v>2</v>
      </c>
      <c r="K572">
        <v>63380</v>
      </c>
      <c r="L572">
        <v>15</v>
      </c>
      <c r="M572">
        <v>107746</v>
      </c>
      <c r="N572">
        <v>23159.57</v>
      </c>
      <c r="O572" t="s">
        <v>31</v>
      </c>
    </row>
    <row r="573" spans="1:15" x14ac:dyDescent="0.25">
      <c r="A573" t="s">
        <v>643</v>
      </c>
      <c r="B573" s="1">
        <v>45984</v>
      </c>
      <c r="C573" t="s">
        <v>25</v>
      </c>
      <c r="D573" t="s">
        <v>26</v>
      </c>
      <c r="E573" t="s">
        <v>27</v>
      </c>
      <c r="F573" t="s">
        <v>47</v>
      </c>
      <c r="G573" t="s">
        <v>28</v>
      </c>
      <c r="H573" t="s">
        <v>21</v>
      </c>
      <c r="I573" t="s">
        <v>56</v>
      </c>
      <c r="J573">
        <v>5</v>
      </c>
      <c r="K573">
        <v>77284</v>
      </c>
      <c r="L573">
        <v>5</v>
      </c>
      <c r="M573">
        <v>367099</v>
      </c>
      <c r="N573">
        <v>81276.72</v>
      </c>
      <c r="O573" t="s">
        <v>23</v>
      </c>
    </row>
    <row r="574" spans="1:15" x14ac:dyDescent="0.25">
      <c r="A574" t="s">
        <v>644</v>
      </c>
      <c r="B574" s="1">
        <v>45693</v>
      </c>
      <c r="C574" t="s">
        <v>36</v>
      </c>
      <c r="D574" t="s">
        <v>50</v>
      </c>
      <c r="E574" t="s">
        <v>51</v>
      </c>
      <c r="F574" t="s">
        <v>72</v>
      </c>
      <c r="G574" t="s">
        <v>20</v>
      </c>
      <c r="H574" t="s">
        <v>40</v>
      </c>
      <c r="I574" t="s">
        <v>41</v>
      </c>
      <c r="J574">
        <v>8</v>
      </c>
      <c r="K574">
        <v>22212</v>
      </c>
      <c r="L574">
        <v>20</v>
      </c>
      <c r="M574">
        <v>142156.79999999999</v>
      </c>
      <c r="N574">
        <v>13641.07</v>
      </c>
      <c r="O574" t="s">
        <v>31</v>
      </c>
    </row>
    <row r="575" spans="1:15" x14ac:dyDescent="0.25">
      <c r="A575" t="s">
        <v>645</v>
      </c>
      <c r="B575" s="1">
        <v>45696</v>
      </c>
      <c r="C575" t="s">
        <v>36</v>
      </c>
      <c r="D575" t="s">
        <v>50</v>
      </c>
      <c r="E575" t="s">
        <v>51</v>
      </c>
      <c r="F575" t="s">
        <v>47</v>
      </c>
      <c r="G575" t="s">
        <v>20</v>
      </c>
      <c r="H575" t="s">
        <v>68</v>
      </c>
      <c r="I575" t="s">
        <v>94</v>
      </c>
      <c r="J575">
        <v>1</v>
      </c>
      <c r="K575">
        <v>72131</v>
      </c>
      <c r="L575">
        <v>10</v>
      </c>
      <c r="M575">
        <v>64917.9</v>
      </c>
      <c r="N575">
        <v>13869.45</v>
      </c>
      <c r="O575" t="s">
        <v>31</v>
      </c>
    </row>
    <row r="576" spans="1:15" x14ac:dyDescent="0.25">
      <c r="A576" t="s">
        <v>646</v>
      </c>
      <c r="B576" s="1">
        <v>46010</v>
      </c>
      <c r="C576" t="s">
        <v>36</v>
      </c>
      <c r="D576" t="s">
        <v>85</v>
      </c>
      <c r="E576" t="s">
        <v>86</v>
      </c>
      <c r="F576" t="s">
        <v>72</v>
      </c>
      <c r="G576" t="s">
        <v>28</v>
      </c>
      <c r="H576" t="s">
        <v>21</v>
      </c>
      <c r="I576" t="s">
        <v>56</v>
      </c>
      <c r="J576">
        <v>8</v>
      </c>
      <c r="K576">
        <v>62495</v>
      </c>
      <c r="L576">
        <v>15</v>
      </c>
      <c r="M576">
        <v>424966</v>
      </c>
      <c r="N576">
        <v>102751.76</v>
      </c>
      <c r="O576" t="s">
        <v>23</v>
      </c>
    </row>
    <row r="577" spans="1:15" x14ac:dyDescent="0.25">
      <c r="A577" t="s">
        <v>647</v>
      </c>
      <c r="B577" s="1">
        <v>45751</v>
      </c>
      <c r="C577" t="s">
        <v>16</v>
      </c>
      <c r="D577" t="s">
        <v>44</v>
      </c>
      <c r="E577" t="s">
        <v>44</v>
      </c>
      <c r="F577" t="s">
        <v>63</v>
      </c>
      <c r="G577" t="s">
        <v>20</v>
      </c>
      <c r="H577" t="s">
        <v>68</v>
      </c>
      <c r="I577" t="s">
        <v>90</v>
      </c>
      <c r="J577">
        <v>10</v>
      </c>
      <c r="K577">
        <v>60909</v>
      </c>
      <c r="L577">
        <v>15</v>
      </c>
      <c r="M577">
        <v>517726.5</v>
      </c>
      <c r="N577">
        <v>53787.4</v>
      </c>
      <c r="O577" t="s">
        <v>31</v>
      </c>
    </row>
    <row r="578" spans="1:15" x14ac:dyDescent="0.25">
      <c r="A578" t="s">
        <v>648</v>
      </c>
      <c r="B578" s="1">
        <v>45990</v>
      </c>
      <c r="C578" t="s">
        <v>65</v>
      </c>
      <c r="D578" t="s">
        <v>82</v>
      </c>
      <c r="E578" t="s">
        <v>83</v>
      </c>
      <c r="F578" t="s">
        <v>63</v>
      </c>
      <c r="G578" t="s">
        <v>28</v>
      </c>
      <c r="H578" t="s">
        <v>21</v>
      </c>
      <c r="I578" t="s">
        <v>22</v>
      </c>
      <c r="J578">
        <v>8</v>
      </c>
      <c r="K578">
        <v>67610</v>
      </c>
      <c r="L578">
        <v>10</v>
      </c>
      <c r="M578">
        <v>486792</v>
      </c>
      <c r="N578">
        <v>53765.58</v>
      </c>
      <c r="O578" t="s">
        <v>42</v>
      </c>
    </row>
    <row r="579" spans="1:15" x14ac:dyDescent="0.25">
      <c r="A579" t="s">
        <v>649</v>
      </c>
      <c r="B579" s="1">
        <v>45979</v>
      </c>
      <c r="C579" t="s">
        <v>36</v>
      </c>
      <c r="D579" t="s">
        <v>37</v>
      </c>
      <c r="E579" t="s">
        <v>38</v>
      </c>
      <c r="F579" t="s">
        <v>93</v>
      </c>
      <c r="G579" t="s">
        <v>28</v>
      </c>
      <c r="H579" t="s">
        <v>21</v>
      </c>
      <c r="I579" t="s">
        <v>45</v>
      </c>
      <c r="J579">
        <v>6</v>
      </c>
      <c r="K579">
        <v>33972</v>
      </c>
      <c r="L579">
        <v>15</v>
      </c>
      <c r="M579">
        <v>173257.2</v>
      </c>
      <c r="N579">
        <v>18892.7</v>
      </c>
      <c r="O579" t="s">
        <v>23</v>
      </c>
    </row>
    <row r="580" spans="1:15" x14ac:dyDescent="0.25">
      <c r="A580" t="s">
        <v>650</v>
      </c>
      <c r="B580" s="1">
        <v>45947</v>
      </c>
      <c r="C580" t="s">
        <v>25</v>
      </c>
      <c r="D580" t="s">
        <v>26</v>
      </c>
      <c r="E580" t="s">
        <v>27</v>
      </c>
      <c r="F580" t="s">
        <v>52</v>
      </c>
      <c r="G580" t="s">
        <v>20</v>
      </c>
      <c r="H580" t="s">
        <v>68</v>
      </c>
      <c r="I580" t="s">
        <v>94</v>
      </c>
      <c r="J580">
        <v>8</v>
      </c>
      <c r="K580">
        <v>26998</v>
      </c>
      <c r="L580">
        <v>20</v>
      </c>
      <c r="M580">
        <v>172787.20000000001</v>
      </c>
      <c r="N580">
        <v>40518.5</v>
      </c>
      <c r="O580" t="s">
        <v>31</v>
      </c>
    </row>
    <row r="581" spans="1:15" x14ac:dyDescent="0.25">
      <c r="A581" t="s">
        <v>651</v>
      </c>
      <c r="B581" s="1">
        <v>45798</v>
      </c>
      <c r="C581" t="s">
        <v>65</v>
      </c>
      <c r="D581" t="s">
        <v>66</v>
      </c>
      <c r="E581" t="s">
        <v>67</v>
      </c>
      <c r="F581" t="s">
        <v>33</v>
      </c>
      <c r="G581" t="s">
        <v>20</v>
      </c>
      <c r="H581" t="s">
        <v>21</v>
      </c>
      <c r="I581" t="s">
        <v>56</v>
      </c>
      <c r="J581">
        <v>9</v>
      </c>
      <c r="K581">
        <v>24952</v>
      </c>
      <c r="L581">
        <v>10</v>
      </c>
      <c r="M581">
        <v>202111.2</v>
      </c>
      <c r="N581">
        <v>22026.33</v>
      </c>
      <c r="O581" t="s">
        <v>31</v>
      </c>
    </row>
    <row r="582" spans="1:15" x14ac:dyDescent="0.25">
      <c r="A582" t="s">
        <v>652</v>
      </c>
      <c r="B582" s="1">
        <v>45730</v>
      </c>
      <c r="C582" t="s">
        <v>25</v>
      </c>
      <c r="D582" t="s">
        <v>26</v>
      </c>
      <c r="E582" t="s">
        <v>27</v>
      </c>
      <c r="F582" t="s">
        <v>93</v>
      </c>
      <c r="G582" t="s">
        <v>28</v>
      </c>
      <c r="H582" t="s">
        <v>68</v>
      </c>
      <c r="I582" t="s">
        <v>94</v>
      </c>
      <c r="J582">
        <v>1</v>
      </c>
      <c r="K582">
        <v>50629</v>
      </c>
      <c r="L582">
        <v>15</v>
      </c>
      <c r="M582">
        <v>43034.65</v>
      </c>
      <c r="N582">
        <v>4169.87</v>
      </c>
      <c r="O582" t="s">
        <v>23</v>
      </c>
    </row>
    <row r="583" spans="1:15" x14ac:dyDescent="0.25">
      <c r="A583" t="s">
        <v>653</v>
      </c>
      <c r="B583" s="1">
        <v>45756</v>
      </c>
      <c r="C583" t="s">
        <v>25</v>
      </c>
      <c r="D583" t="s">
        <v>61</v>
      </c>
      <c r="E583" t="s">
        <v>62</v>
      </c>
      <c r="F583" t="s">
        <v>39</v>
      </c>
      <c r="G583" t="s">
        <v>20</v>
      </c>
      <c r="H583" t="s">
        <v>68</v>
      </c>
      <c r="I583" t="s">
        <v>69</v>
      </c>
      <c r="J583">
        <v>2</v>
      </c>
      <c r="K583">
        <v>8442</v>
      </c>
      <c r="L583">
        <v>15</v>
      </c>
      <c r="M583">
        <v>14351.4</v>
      </c>
      <c r="N583">
        <v>3513.62</v>
      </c>
      <c r="O583" t="s">
        <v>31</v>
      </c>
    </row>
    <row r="584" spans="1:15" x14ac:dyDescent="0.25">
      <c r="A584" t="s">
        <v>654</v>
      </c>
      <c r="B584" s="1">
        <v>45949</v>
      </c>
      <c r="C584" t="s">
        <v>16</v>
      </c>
      <c r="D584" t="s">
        <v>44</v>
      </c>
      <c r="E584" t="s">
        <v>44</v>
      </c>
      <c r="F584" t="s">
        <v>93</v>
      </c>
      <c r="G584" t="s">
        <v>20</v>
      </c>
      <c r="H584" t="s">
        <v>29</v>
      </c>
      <c r="I584" t="s">
        <v>48</v>
      </c>
      <c r="J584">
        <v>1</v>
      </c>
      <c r="K584">
        <v>28010</v>
      </c>
      <c r="L584">
        <v>15</v>
      </c>
      <c r="M584">
        <v>23808.5</v>
      </c>
      <c r="N584">
        <v>2248.1799999999998</v>
      </c>
      <c r="O584" t="s">
        <v>42</v>
      </c>
    </row>
    <row r="585" spans="1:15" x14ac:dyDescent="0.25">
      <c r="A585" t="s">
        <v>655</v>
      </c>
      <c r="B585" s="1">
        <v>45828</v>
      </c>
      <c r="C585" t="s">
        <v>16</v>
      </c>
      <c r="D585" t="s">
        <v>106</v>
      </c>
      <c r="E585" t="s">
        <v>107</v>
      </c>
      <c r="F585" t="s">
        <v>52</v>
      </c>
      <c r="G585" t="s">
        <v>28</v>
      </c>
      <c r="H585" t="s">
        <v>21</v>
      </c>
      <c r="I585" t="s">
        <v>45</v>
      </c>
      <c r="J585">
        <v>2</v>
      </c>
      <c r="K585">
        <v>65398</v>
      </c>
      <c r="L585">
        <v>15</v>
      </c>
      <c r="M585">
        <v>111176.6</v>
      </c>
      <c r="N585">
        <v>22500.31</v>
      </c>
      <c r="O585" t="s">
        <v>42</v>
      </c>
    </row>
    <row r="586" spans="1:15" x14ac:dyDescent="0.25">
      <c r="A586" t="s">
        <v>656</v>
      </c>
      <c r="B586" s="1">
        <v>45994</v>
      </c>
      <c r="C586" t="s">
        <v>65</v>
      </c>
      <c r="D586" t="s">
        <v>82</v>
      </c>
      <c r="E586" t="s">
        <v>83</v>
      </c>
      <c r="F586" t="s">
        <v>63</v>
      </c>
      <c r="G586" t="s">
        <v>28</v>
      </c>
      <c r="H586" t="s">
        <v>29</v>
      </c>
      <c r="I586" t="s">
        <v>53</v>
      </c>
      <c r="J586">
        <v>3</v>
      </c>
      <c r="K586">
        <v>18242</v>
      </c>
      <c r="L586">
        <v>15</v>
      </c>
      <c r="M586">
        <v>46517.1</v>
      </c>
      <c r="N586">
        <v>10380.4</v>
      </c>
      <c r="O586" t="s">
        <v>23</v>
      </c>
    </row>
    <row r="587" spans="1:15" x14ac:dyDescent="0.25">
      <c r="A587" t="s">
        <v>657</v>
      </c>
      <c r="B587" s="1">
        <v>46011</v>
      </c>
      <c r="C587" t="s">
        <v>16</v>
      </c>
      <c r="D587" t="s">
        <v>44</v>
      </c>
      <c r="E587" t="s">
        <v>44</v>
      </c>
      <c r="F587" t="s">
        <v>33</v>
      </c>
      <c r="G587" t="s">
        <v>28</v>
      </c>
      <c r="H587" t="s">
        <v>21</v>
      </c>
      <c r="I587" t="s">
        <v>22</v>
      </c>
      <c r="J587">
        <v>9</v>
      </c>
      <c r="K587">
        <v>53675</v>
      </c>
      <c r="L587">
        <v>15</v>
      </c>
      <c r="M587">
        <v>410613.75</v>
      </c>
      <c r="N587">
        <v>84431.05</v>
      </c>
      <c r="O587" t="s">
        <v>34</v>
      </c>
    </row>
    <row r="588" spans="1:15" x14ac:dyDescent="0.25">
      <c r="A588" t="s">
        <v>658</v>
      </c>
      <c r="B588" s="1">
        <v>45887</v>
      </c>
      <c r="C588" t="s">
        <v>65</v>
      </c>
      <c r="D588" t="s">
        <v>66</v>
      </c>
      <c r="E588" t="s">
        <v>67</v>
      </c>
      <c r="F588" t="s">
        <v>72</v>
      </c>
      <c r="G588" t="s">
        <v>20</v>
      </c>
      <c r="H588" t="s">
        <v>40</v>
      </c>
      <c r="I588" t="s">
        <v>41</v>
      </c>
      <c r="J588">
        <v>10</v>
      </c>
      <c r="K588">
        <v>42783</v>
      </c>
      <c r="L588">
        <v>10</v>
      </c>
      <c r="M588">
        <v>385047</v>
      </c>
      <c r="N588">
        <v>48095</v>
      </c>
      <c r="O588" t="s">
        <v>31</v>
      </c>
    </row>
    <row r="589" spans="1:15" x14ac:dyDescent="0.25">
      <c r="A589" t="s">
        <v>659</v>
      </c>
      <c r="B589" s="1">
        <v>45742</v>
      </c>
      <c r="C589" t="s">
        <v>65</v>
      </c>
      <c r="D589" t="s">
        <v>82</v>
      </c>
      <c r="E589" t="s">
        <v>83</v>
      </c>
      <c r="F589" t="s">
        <v>39</v>
      </c>
      <c r="G589" t="s">
        <v>28</v>
      </c>
      <c r="H589" t="s">
        <v>77</v>
      </c>
      <c r="I589" t="s">
        <v>100</v>
      </c>
      <c r="J589">
        <v>4</v>
      </c>
      <c r="K589">
        <v>18465</v>
      </c>
      <c r="L589">
        <v>5</v>
      </c>
      <c r="M589">
        <v>70167</v>
      </c>
      <c r="N589">
        <v>10628.22</v>
      </c>
      <c r="O589" t="s">
        <v>42</v>
      </c>
    </row>
    <row r="590" spans="1:15" x14ac:dyDescent="0.25">
      <c r="A590" t="s">
        <v>660</v>
      </c>
      <c r="B590" s="1">
        <v>45902</v>
      </c>
      <c r="C590" t="s">
        <v>16</v>
      </c>
      <c r="D590" t="s">
        <v>106</v>
      </c>
      <c r="E590" t="s">
        <v>107</v>
      </c>
      <c r="F590" t="s">
        <v>19</v>
      </c>
      <c r="G590" t="s">
        <v>28</v>
      </c>
      <c r="H590" t="s">
        <v>68</v>
      </c>
      <c r="I590" t="s">
        <v>69</v>
      </c>
      <c r="J590">
        <v>9</v>
      </c>
      <c r="K590">
        <v>79500</v>
      </c>
      <c r="L590">
        <v>10</v>
      </c>
      <c r="M590">
        <v>643950</v>
      </c>
      <c r="N590">
        <v>157785.57</v>
      </c>
      <c r="O590" t="s">
        <v>34</v>
      </c>
    </row>
    <row r="591" spans="1:15" x14ac:dyDescent="0.25">
      <c r="A591" t="s">
        <v>661</v>
      </c>
      <c r="B591" s="1">
        <v>45876</v>
      </c>
      <c r="C591" t="s">
        <v>25</v>
      </c>
      <c r="D591" t="s">
        <v>61</v>
      </c>
      <c r="E591" t="s">
        <v>62</v>
      </c>
      <c r="F591" t="s">
        <v>47</v>
      </c>
      <c r="G591" t="s">
        <v>20</v>
      </c>
      <c r="H591" t="s">
        <v>68</v>
      </c>
      <c r="I591" t="s">
        <v>94</v>
      </c>
      <c r="J591">
        <v>5</v>
      </c>
      <c r="K591">
        <v>58547</v>
      </c>
      <c r="L591">
        <v>15</v>
      </c>
      <c r="M591">
        <v>248824.75</v>
      </c>
      <c r="N591">
        <v>48371.27</v>
      </c>
      <c r="O591" t="s">
        <v>31</v>
      </c>
    </row>
    <row r="592" spans="1:15" x14ac:dyDescent="0.25">
      <c r="A592" t="s">
        <v>662</v>
      </c>
      <c r="B592" s="1">
        <v>45991</v>
      </c>
      <c r="C592" t="s">
        <v>36</v>
      </c>
      <c r="D592" t="s">
        <v>37</v>
      </c>
      <c r="E592" t="s">
        <v>38</v>
      </c>
      <c r="F592" t="s">
        <v>63</v>
      </c>
      <c r="G592" t="s">
        <v>28</v>
      </c>
      <c r="H592" t="s">
        <v>21</v>
      </c>
      <c r="I592" t="s">
        <v>22</v>
      </c>
      <c r="J592">
        <v>2</v>
      </c>
      <c r="K592">
        <v>6363</v>
      </c>
      <c r="L592">
        <v>5</v>
      </c>
      <c r="M592">
        <v>12089.7</v>
      </c>
      <c r="N592">
        <v>2184.5</v>
      </c>
      <c r="O592" t="s">
        <v>31</v>
      </c>
    </row>
    <row r="593" spans="1:15" x14ac:dyDescent="0.25">
      <c r="A593" t="s">
        <v>663</v>
      </c>
      <c r="B593" s="1">
        <v>45967</v>
      </c>
      <c r="C593" t="s">
        <v>16</v>
      </c>
      <c r="D593" t="s">
        <v>17</v>
      </c>
      <c r="E593" t="s">
        <v>18</v>
      </c>
      <c r="F593" t="s">
        <v>39</v>
      </c>
      <c r="G593" t="s">
        <v>20</v>
      </c>
      <c r="H593" t="s">
        <v>21</v>
      </c>
      <c r="I593" t="s">
        <v>56</v>
      </c>
      <c r="J593">
        <v>6</v>
      </c>
      <c r="K593">
        <v>56479</v>
      </c>
      <c r="L593">
        <v>0</v>
      </c>
      <c r="M593">
        <v>338874</v>
      </c>
      <c r="N593">
        <v>33108.28</v>
      </c>
      <c r="O593" t="s">
        <v>31</v>
      </c>
    </row>
    <row r="594" spans="1:15" x14ac:dyDescent="0.25">
      <c r="A594" t="s">
        <v>664</v>
      </c>
      <c r="B594" s="1">
        <v>45779</v>
      </c>
      <c r="C594" t="s">
        <v>16</v>
      </c>
      <c r="D594" t="s">
        <v>44</v>
      </c>
      <c r="E594" t="s">
        <v>44</v>
      </c>
      <c r="F594" t="s">
        <v>72</v>
      </c>
      <c r="G594" t="s">
        <v>28</v>
      </c>
      <c r="H594" t="s">
        <v>21</v>
      </c>
      <c r="I594" t="s">
        <v>56</v>
      </c>
      <c r="J594">
        <v>6</v>
      </c>
      <c r="K594">
        <v>22534</v>
      </c>
      <c r="L594">
        <v>20</v>
      </c>
      <c r="M594">
        <v>108163.2</v>
      </c>
      <c r="N594">
        <v>19037.23</v>
      </c>
      <c r="O594" t="s">
        <v>42</v>
      </c>
    </row>
    <row r="595" spans="1:15" x14ac:dyDescent="0.25">
      <c r="A595" t="s">
        <v>665</v>
      </c>
      <c r="B595" s="1">
        <v>45776</v>
      </c>
      <c r="C595" t="s">
        <v>36</v>
      </c>
      <c r="D595" t="s">
        <v>50</v>
      </c>
      <c r="E595" t="s">
        <v>51</v>
      </c>
      <c r="F595" t="s">
        <v>93</v>
      </c>
      <c r="G595" t="s">
        <v>20</v>
      </c>
      <c r="H595" t="s">
        <v>68</v>
      </c>
      <c r="I595" t="s">
        <v>69</v>
      </c>
      <c r="J595">
        <v>2</v>
      </c>
      <c r="K595">
        <v>11073</v>
      </c>
      <c r="L595">
        <v>5</v>
      </c>
      <c r="M595">
        <v>21038.7</v>
      </c>
      <c r="N595">
        <v>2007.83</v>
      </c>
      <c r="O595" t="s">
        <v>23</v>
      </c>
    </row>
    <row r="596" spans="1:15" x14ac:dyDescent="0.25">
      <c r="A596" t="s">
        <v>666</v>
      </c>
      <c r="B596" s="1">
        <v>45816</v>
      </c>
      <c r="C596" t="s">
        <v>36</v>
      </c>
      <c r="D596" t="s">
        <v>37</v>
      </c>
      <c r="E596" t="s">
        <v>38</v>
      </c>
      <c r="F596" t="s">
        <v>93</v>
      </c>
      <c r="G596" t="s">
        <v>20</v>
      </c>
      <c r="H596" t="s">
        <v>68</v>
      </c>
      <c r="I596" t="s">
        <v>90</v>
      </c>
      <c r="J596">
        <v>7</v>
      </c>
      <c r="K596">
        <v>9023</v>
      </c>
      <c r="L596">
        <v>10</v>
      </c>
      <c r="M596">
        <v>56844.9</v>
      </c>
      <c r="N596">
        <v>11556.74</v>
      </c>
      <c r="O596" t="s">
        <v>34</v>
      </c>
    </row>
    <row r="597" spans="1:15" x14ac:dyDescent="0.25">
      <c r="A597" t="s">
        <v>667</v>
      </c>
      <c r="B597" s="1">
        <v>45674</v>
      </c>
      <c r="C597" t="s">
        <v>16</v>
      </c>
      <c r="D597" t="s">
        <v>44</v>
      </c>
      <c r="E597" t="s">
        <v>44</v>
      </c>
      <c r="F597" t="s">
        <v>39</v>
      </c>
      <c r="G597" t="s">
        <v>20</v>
      </c>
      <c r="H597" t="s">
        <v>68</v>
      </c>
      <c r="I597" t="s">
        <v>94</v>
      </c>
      <c r="J597">
        <v>7</v>
      </c>
      <c r="K597">
        <v>40484</v>
      </c>
      <c r="L597">
        <v>0</v>
      </c>
      <c r="M597">
        <v>283388</v>
      </c>
      <c r="N597">
        <v>38254.57</v>
      </c>
      <c r="O597" t="s">
        <v>34</v>
      </c>
    </row>
    <row r="598" spans="1:15" x14ac:dyDescent="0.25">
      <c r="A598" t="s">
        <v>668</v>
      </c>
      <c r="B598" s="1">
        <v>45720</v>
      </c>
      <c r="C598" t="s">
        <v>36</v>
      </c>
      <c r="D598" t="s">
        <v>37</v>
      </c>
      <c r="E598" t="s">
        <v>38</v>
      </c>
      <c r="F598" t="s">
        <v>19</v>
      </c>
      <c r="G598" t="s">
        <v>28</v>
      </c>
      <c r="H598" t="s">
        <v>29</v>
      </c>
      <c r="I598" t="s">
        <v>53</v>
      </c>
      <c r="J598">
        <v>8</v>
      </c>
      <c r="K598">
        <v>17238</v>
      </c>
      <c r="L598">
        <v>15</v>
      </c>
      <c r="M598">
        <v>117218.4</v>
      </c>
      <c r="N598">
        <v>22127.48</v>
      </c>
      <c r="O598" t="s">
        <v>23</v>
      </c>
    </row>
    <row r="599" spans="1:15" x14ac:dyDescent="0.25">
      <c r="A599" t="s">
        <v>669</v>
      </c>
      <c r="B599" s="1">
        <v>45683</v>
      </c>
      <c r="C599" t="s">
        <v>25</v>
      </c>
      <c r="D599" t="s">
        <v>61</v>
      </c>
      <c r="E599" t="s">
        <v>62</v>
      </c>
      <c r="F599" t="s">
        <v>33</v>
      </c>
      <c r="G599" t="s">
        <v>28</v>
      </c>
      <c r="H599" t="s">
        <v>21</v>
      </c>
      <c r="I599" t="s">
        <v>45</v>
      </c>
      <c r="J599">
        <v>5</v>
      </c>
      <c r="K599">
        <v>74103</v>
      </c>
      <c r="L599">
        <v>10</v>
      </c>
      <c r="M599">
        <v>333463.5</v>
      </c>
      <c r="N599">
        <v>57845.58</v>
      </c>
      <c r="O599" t="s">
        <v>42</v>
      </c>
    </row>
    <row r="600" spans="1:15" x14ac:dyDescent="0.25">
      <c r="A600" t="s">
        <v>670</v>
      </c>
      <c r="B600" s="1">
        <v>45662</v>
      </c>
      <c r="C600" t="s">
        <v>65</v>
      </c>
      <c r="D600" t="s">
        <v>66</v>
      </c>
      <c r="E600" t="s">
        <v>67</v>
      </c>
      <c r="F600" t="s">
        <v>19</v>
      </c>
      <c r="G600" t="s">
        <v>28</v>
      </c>
      <c r="H600" t="s">
        <v>21</v>
      </c>
      <c r="I600" t="s">
        <v>22</v>
      </c>
      <c r="J600">
        <v>8</v>
      </c>
      <c r="K600">
        <v>44543</v>
      </c>
      <c r="L600">
        <v>0</v>
      </c>
      <c r="M600">
        <v>356344</v>
      </c>
      <c r="N600">
        <v>48323.16</v>
      </c>
      <c r="O600" t="s">
        <v>42</v>
      </c>
    </row>
    <row r="601" spans="1:15" x14ac:dyDescent="0.25">
      <c r="A601" t="s">
        <v>671</v>
      </c>
      <c r="B601" s="1">
        <v>46005</v>
      </c>
      <c r="C601" t="s">
        <v>25</v>
      </c>
      <c r="D601" t="s">
        <v>61</v>
      </c>
      <c r="E601" t="s">
        <v>62</v>
      </c>
      <c r="F601" t="s">
        <v>47</v>
      </c>
      <c r="G601" t="s">
        <v>28</v>
      </c>
      <c r="H601" t="s">
        <v>77</v>
      </c>
      <c r="I601" t="s">
        <v>100</v>
      </c>
      <c r="J601">
        <v>7</v>
      </c>
      <c r="K601">
        <v>15919</v>
      </c>
      <c r="L601">
        <v>10</v>
      </c>
      <c r="M601">
        <v>100289.7</v>
      </c>
      <c r="N601">
        <v>12690.58</v>
      </c>
      <c r="O601" t="s">
        <v>31</v>
      </c>
    </row>
    <row r="602" spans="1:15" x14ac:dyDescent="0.25">
      <c r="A602" t="s">
        <v>672</v>
      </c>
      <c r="B602" s="1">
        <v>45846</v>
      </c>
      <c r="C602" t="s">
        <v>16</v>
      </c>
      <c r="D602" t="s">
        <v>44</v>
      </c>
      <c r="E602" t="s">
        <v>44</v>
      </c>
      <c r="F602" t="s">
        <v>47</v>
      </c>
      <c r="G602" t="s">
        <v>28</v>
      </c>
      <c r="H602" t="s">
        <v>40</v>
      </c>
      <c r="I602" t="s">
        <v>59</v>
      </c>
      <c r="J602">
        <v>7</v>
      </c>
      <c r="K602">
        <v>54765</v>
      </c>
      <c r="L602">
        <v>10</v>
      </c>
      <c r="M602">
        <v>345019.5</v>
      </c>
      <c r="N602">
        <v>47422.69</v>
      </c>
      <c r="O602" t="s">
        <v>31</v>
      </c>
    </row>
    <row r="603" spans="1:15" x14ac:dyDescent="0.25">
      <c r="A603" t="s">
        <v>673</v>
      </c>
      <c r="B603" s="1">
        <v>45672</v>
      </c>
      <c r="C603" t="s">
        <v>65</v>
      </c>
      <c r="D603" t="s">
        <v>66</v>
      </c>
      <c r="E603" t="s">
        <v>67</v>
      </c>
      <c r="F603" t="s">
        <v>47</v>
      </c>
      <c r="G603" t="s">
        <v>20</v>
      </c>
      <c r="H603" t="s">
        <v>21</v>
      </c>
      <c r="I603" t="s">
        <v>56</v>
      </c>
      <c r="J603">
        <v>1</v>
      </c>
      <c r="K603">
        <v>38991</v>
      </c>
      <c r="L603">
        <v>15</v>
      </c>
      <c r="M603">
        <v>33142.35</v>
      </c>
      <c r="N603">
        <v>8158.36</v>
      </c>
      <c r="O603" t="s">
        <v>42</v>
      </c>
    </row>
    <row r="604" spans="1:15" x14ac:dyDescent="0.25">
      <c r="A604" t="s">
        <v>674</v>
      </c>
      <c r="B604" s="1">
        <v>46003</v>
      </c>
      <c r="C604" t="s">
        <v>25</v>
      </c>
      <c r="D604" t="s">
        <v>61</v>
      </c>
      <c r="E604" t="s">
        <v>62</v>
      </c>
      <c r="F604" t="s">
        <v>52</v>
      </c>
      <c r="G604" t="s">
        <v>20</v>
      </c>
      <c r="H604" t="s">
        <v>29</v>
      </c>
      <c r="I604" t="s">
        <v>53</v>
      </c>
      <c r="J604">
        <v>7</v>
      </c>
      <c r="K604">
        <v>53503</v>
      </c>
      <c r="L604">
        <v>20</v>
      </c>
      <c r="M604">
        <v>299616.8</v>
      </c>
      <c r="N604">
        <v>62432.65</v>
      </c>
      <c r="O604" t="s">
        <v>42</v>
      </c>
    </row>
    <row r="605" spans="1:15" x14ac:dyDescent="0.25">
      <c r="A605" t="s">
        <v>675</v>
      </c>
      <c r="B605" s="1">
        <v>45960</v>
      </c>
      <c r="C605" t="s">
        <v>25</v>
      </c>
      <c r="D605" t="s">
        <v>26</v>
      </c>
      <c r="E605" t="s">
        <v>27</v>
      </c>
      <c r="F605" t="s">
        <v>93</v>
      </c>
      <c r="G605" t="s">
        <v>20</v>
      </c>
      <c r="H605" t="s">
        <v>21</v>
      </c>
      <c r="I605" t="s">
        <v>45</v>
      </c>
      <c r="J605">
        <v>8</v>
      </c>
      <c r="K605">
        <v>52244</v>
      </c>
      <c r="L605">
        <v>20</v>
      </c>
      <c r="M605">
        <v>334361.59999999998</v>
      </c>
      <c r="N605">
        <v>47017.1</v>
      </c>
      <c r="O605" t="s">
        <v>31</v>
      </c>
    </row>
    <row r="606" spans="1:15" x14ac:dyDescent="0.25">
      <c r="A606" t="s">
        <v>676</v>
      </c>
      <c r="B606" s="1">
        <v>45697</v>
      </c>
      <c r="C606" t="s">
        <v>25</v>
      </c>
      <c r="D606" t="s">
        <v>26</v>
      </c>
      <c r="E606" t="s">
        <v>27</v>
      </c>
      <c r="F606" t="s">
        <v>63</v>
      </c>
      <c r="G606" t="s">
        <v>28</v>
      </c>
      <c r="H606" t="s">
        <v>77</v>
      </c>
      <c r="I606" t="s">
        <v>88</v>
      </c>
      <c r="J606">
        <v>4</v>
      </c>
      <c r="K606">
        <v>52657</v>
      </c>
      <c r="L606">
        <v>0</v>
      </c>
      <c r="M606">
        <v>210628</v>
      </c>
      <c r="N606">
        <v>41050.76</v>
      </c>
      <c r="O606" t="s">
        <v>23</v>
      </c>
    </row>
    <row r="607" spans="1:15" x14ac:dyDescent="0.25">
      <c r="A607" t="s">
        <v>677</v>
      </c>
      <c r="B607" s="1">
        <v>45684</v>
      </c>
      <c r="C607" t="s">
        <v>65</v>
      </c>
      <c r="D607" t="s">
        <v>66</v>
      </c>
      <c r="E607" t="s">
        <v>67</v>
      </c>
      <c r="F607" t="s">
        <v>93</v>
      </c>
      <c r="G607" t="s">
        <v>28</v>
      </c>
      <c r="H607" t="s">
        <v>68</v>
      </c>
      <c r="I607" t="s">
        <v>94</v>
      </c>
      <c r="J607">
        <v>1</v>
      </c>
      <c r="K607">
        <v>79553</v>
      </c>
      <c r="L607">
        <v>10</v>
      </c>
      <c r="M607">
        <v>71597.7</v>
      </c>
      <c r="N607">
        <v>11804.38</v>
      </c>
      <c r="O607" t="s">
        <v>23</v>
      </c>
    </row>
    <row r="608" spans="1:15" x14ac:dyDescent="0.25">
      <c r="A608" t="s">
        <v>678</v>
      </c>
      <c r="B608" s="1">
        <v>45703</v>
      </c>
      <c r="C608" t="s">
        <v>25</v>
      </c>
      <c r="D608" t="s">
        <v>61</v>
      </c>
      <c r="E608" t="s">
        <v>62</v>
      </c>
      <c r="F608" t="s">
        <v>72</v>
      </c>
      <c r="G608" t="s">
        <v>28</v>
      </c>
      <c r="H608" t="s">
        <v>68</v>
      </c>
      <c r="I608" t="s">
        <v>94</v>
      </c>
      <c r="J608">
        <v>9</v>
      </c>
      <c r="K608">
        <v>21648</v>
      </c>
      <c r="L608">
        <v>20</v>
      </c>
      <c r="M608">
        <v>155865.60000000001</v>
      </c>
      <c r="N608">
        <v>25407.48</v>
      </c>
      <c r="O608" t="s">
        <v>31</v>
      </c>
    </row>
    <row r="609" spans="1:15" x14ac:dyDescent="0.25">
      <c r="A609" t="s">
        <v>679</v>
      </c>
      <c r="B609" s="1">
        <v>46015</v>
      </c>
      <c r="C609" t="s">
        <v>65</v>
      </c>
      <c r="D609" t="s">
        <v>82</v>
      </c>
      <c r="E609" t="s">
        <v>83</v>
      </c>
      <c r="F609" t="s">
        <v>47</v>
      </c>
      <c r="G609" t="s">
        <v>20</v>
      </c>
      <c r="H609" t="s">
        <v>68</v>
      </c>
      <c r="I609" t="s">
        <v>69</v>
      </c>
      <c r="J609">
        <v>9</v>
      </c>
      <c r="K609">
        <v>60921</v>
      </c>
      <c r="L609">
        <v>5</v>
      </c>
      <c r="M609">
        <v>520874.55</v>
      </c>
      <c r="N609">
        <v>49374.3</v>
      </c>
      <c r="O609" t="s">
        <v>23</v>
      </c>
    </row>
    <row r="610" spans="1:15" x14ac:dyDescent="0.25">
      <c r="A610" t="s">
        <v>680</v>
      </c>
      <c r="B610" s="1">
        <v>45712</v>
      </c>
      <c r="C610" t="s">
        <v>25</v>
      </c>
      <c r="D610" t="s">
        <v>26</v>
      </c>
      <c r="E610" t="s">
        <v>27</v>
      </c>
      <c r="F610" t="s">
        <v>63</v>
      </c>
      <c r="G610" t="s">
        <v>20</v>
      </c>
      <c r="H610" t="s">
        <v>21</v>
      </c>
      <c r="I610" t="s">
        <v>56</v>
      </c>
      <c r="J610">
        <v>5</v>
      </c>
      <c r="K610">
        <v>5967</v>
      </c>
      <c r="L610">
        <v>10</v>
      </c>
      <c r="M610">
        <v>26851.5</v>
      </c>
      <c r="N610">
        <v>5458.9</v>
      </c>
      <c r="O610" t="s">
        <v>23</v>
      </c>
    </row>
    <row r="611" spans="1:15" x14ac:dyDescent="0.25">
      <c r="A611" t="s">
        <v>681</v>
      </c>
      <c r="B611" s="1">
        <v>45694</v>
      </c>
      <c r="C611" t="s">
        <v>36</v>
      </c>
      <c r="D611" t="s">
        <v>85</v>
      </c>
      <c r="E611" t="s">
        <v>86</v>
      </c>
      <c r="F611" t="s">
        <v>52</v>
      </c>
      <c r="G611" t="s">
        <v>28</v>
      </c>
      <c r="H611" t="s">
        <v>68</v>
      </c>
      <c r="I611" t="s">
        <v>90</v>
      </c>
      <c r="J611">
        <v>7</v>
      </c>
      <c r="K611">
        <v>35038</v>
      </c>
      <c r="L611">
        <v>5</v>
      </c>
      <c r="M611">
        <v>233002.7</v>
      </c>
      <c r="N611">
        <v>39059.1</v>
      </c>
      <c r="O611" t="s">
        <v>23</v>
      </c>
    </row>
    <row r="612" spans="1:15" x14ac:dyDescent="0.25">
      <c r="A612" t="s">
        <v>682</v>
      </c>
      <c r="B612" s="1">
        <v>45741</v>
      </c>
      <c r="C612" t="s">
        <v>16</v>
      </c>
      <c r="D612" t="s">
        <v>17</v>
      </c>
      <c r="E612" t="s">
        <v>18</v>
      </c>
      <c r="F612" t="s">
        <v>19</v>
      </c>
      <c r="G612" t="s">
        <v>28</v>
      </c>
      <c r="H612" t="s">
        <v>77</v>
      </c>
      <c r="I612" t="s">
        <v>78</v>
      </c>
      <c r="J612">
        <v>6</v>
      </c>
      <c r="K612">
        <v>46208</v>
      </c>
      <c r="L612">
        <v>10</v>
      </c>
      <c r="M612">
        <v>249523.20000000001</v>
      </c>
      <c r="N612">
        <v>32669.84</v>
      </c>
      <c r="O612" t="s">
        <v>31</v>
      </c>
    </row>
    <row r="613" spans="1:15" x14ac:dyDescent="0.25">
      <c r="A613" t="s">
        <v>683</v>
      </c>
      <c r="B613" s="1">
        <v>46000</v>
      </c>
      <c r="C613" t="s">
        <v>16</v>
      </c>
      <c r="D613" t="s">
        <v>44</v>
      </c>
      <c r="E613" t="s">
        <v>44</v>
      </c>
      <c r="F613" t="s">
        <v>19</v>
      </c>
      <c r="G613" t="s">
        <v>20</v>
      </c>
      <c r="H613" t="s">
        <v>21</v>
      </c>
      <c r="I613" t="s">
        <v>22</v>
      </c>
      <c r="J613">
        <v>2</v>
      </c>
      <c r="K613">
        <v>31107</v>
      </c>
      <c r="L613">
        <v>5</v>
      </c>
      <c r="M613">
        <v>59103.3</v>
      </c>
      <c r="N613">
        <v>13427.95</v>
      </c>
      <c r="O613" t="s">
        <v>23</v>
      </c>
    </row>
    <row r="614" spans="1:15" x14ac:dyDescent="0.25">
      <c r="A614" t="s">
        <v>684</v>
      </c>
      <c r="B614" s="1">
        <v>45728</v>
      </c>
      <c r="C614" t="s">
        <v>65</v>
      </c>
      <c r="D614" t="s">
        <v>82</v>
      </c>
      <c r="E614" t="s">
        <v>83</v>
      </c>
      <c r="F614" t="s">
        <v>19</v>
      </c>
      <c r="G614" t="s">
        <v>28</v>
      </c>
      <c r="H614" t="s">
        <v>68</v>
      </c>
      <c r="I614" t="s">
        <v>94</v>
      </c>
      <c r="J614">
        <v>2</v>
      </c>
      <c r="K614">
        <v>65483</v>
      </c>
      <c r="L614">
        <v>20</v>
      </c>
      <c r="M614">
        <v>104772.8</v>
      </c>
      <c r="N614">
        <v>12115.72</v>
      </c>
      <c r="O614" t="s">
        <v>42</v>
      </c>
    </row>
    <row r="615" spans="1:15" x14ac:dyDescent="0.25">
      <c r="A615" t="s">
        <v>685</v>
      </c>
      <c r="B615" s="1">
        <v>45800</v>
      </c>
      <c r="C615" t="s">
        <v>16</v>
      </c>
      <c r="D615" t="s">
        <v>44</v>
      </c>
      <c r="E615" t="s">
        <v>44</v>
      </c>
      <c r="F615" t="s">
        <v>19</v>
      </c>
      <c r="G615" t="s">
        <v>28</v>
      </c>
      <c r="H615" t="s">
        <v>29</v>
      </c>
      <c r="I615" t="s">
        <v>48</v>
      </c>
      <c r="J615">
        <v>3</v>
      </c>
      <c r="K615">
        <v>62721</v>
      </c>
      <c r="L615">
        <v>10</v>
      </c>
      <c r="M615">
        <v>169346.7</v>
      </c>
      <c r="N615">
        <v>14762.19</v>
      </c>
      <c r="O615" t="s">
        <v>34</v>
      </c>
    </row>
    <row r="616" spans="1:15" x14ac:dyDescent="0.25">
      <c r="A616" t="s">
        <v>686</v>
      </c>
      <c r="B616" s="1">
        <v>45886</v>
      </c>
      <c r="C616" t="s">
        <v>65</v>
      </c>
      <c r="D616" t="s">
        <v>82</v>
      </c>
      <c r="E616" t="s">
        <v>83</v>
      </c>
      <c r="F616" t="s">
        <v>63</v>
      </c>
      <c r="G616" t="s">
        <v>28</v>
      </c>
      <c r="H616" t="s">
        <v>40</v>
      </c>
      <c r="I616" t="s">
        <v>41</v>
      </c>
      <c r="J616">
        <v>8</v>
      </c>
      <c r="K616">
        <v>63103</v>
      </c>
      <c r="L616">
        <v>5</v>
      </c>
      <c r="M616">
        <v>479582.8</v>
      </c>
      <c r="N616">
        <v>115352.41</v>
      </c>
      <c r="O616" t="s">
        <v>23</v>
      </c>
    </row>
    <row r="617" spans="1:15" x14ac:dyDescent="0.25">
      <c r="A617" t="s">
        <v>687</v>
      </c>
      <c r="B617" s="1">
        <v>45748</v>
      </c>
      <c r="C617" t="s">
        <v>36</v>
      </c>
      <c r="D617" t="s">
        <v>50</v>
      </c>
      <c r="E617" t="s">
        <v>51</v>
      </c>
      <c r="F617" t="s">
        <v>47</v>
      </c>
      <c r="G617" t="s">
        <v>28</v>
      </c>
      <c r="H617" t="s">
        <v>77</v>
      </c>
      <c r="I617" t="s">
        <v>78</v>
      </c>
      <c r="J617">
        <v>2</v>
      </c>
      <c r="K617">
        <v>53722</v>
      </c>
      <c r="L617">
        <v>5</v>
      </c>
      <c r="M617">
        <v>102071.8</v>
      </c>
      <c r="N617">
        <v>8863.84</v>
      </c>
      <c r="O617" t="s">
        <v>34</v>
      </c>
    </row>
    <row r="618" spans="1:15" x14ac:dyDescent="0.25">
      <c r="A618" t="s">
        <v>688</v>
      </c>
      <c r="B618" s="1">
        <v>45697</v>
      </c>
      <c r="C618" t="s">
        <v>25</v>
      </c>
      <c r="D618" t="s">
        <v>61</v>
      </c>
      <c r="E618" t="s">
        <v>62</v>
      </c>
      <c r="F618" t="s">
        <v>93</v>
      </c>
      <c r="G618" t="s">
        <v>20</v>
      </c>
      <c r="H618" t="s">
        <v>29</v>
      </c>
      <c r="I618" t="s">
        <v>53</v>
      </c>
      <c r="J618">
        <v>7</v>
      </c>
      <c r="K618">
        <v>76460</v>
      </c>
      <c r="L618">
        <v>15</v>
      </c>
      <c r="M618">
        <v>454937</v>
      </c>
      <c r="N618">
        <v>39592.480000000003</v>
      </c>
      <c r="O618" t="s">
        <v>31</v>
      </c>
    </row>
    <row r="619" spans="1:15" x14ac:dyDescent="0.25">
      <c r="A619" t="s">
        <v>689</v>
      </c>
      <c r="B619" s="1">
        <v>45974</v>
      </c>
      <c r="C619" t="s">
        <v>65</v>
      </c>
      <c r="D619" t="s">
        <v>66</v>
      </c>
      <c r="E619" t="s">
        <v>67</v>
      </c>
      <c r="F619" t="s">
        <v>47</v>
      </c>
      <c r="G619" t="s">
        <v>28</v>
      </c>
      <c r="H619" t="s">
        <v>29</v>
      </c>
      <c r="I619" t="s">
        <v>53</v>
      </c>
      <c r="J619">
        <v>8</v>
      </c>
      <c r="K619">
        <v>37425</v>
      </c>
      <c r="L619">
        <v>10</v>
      </c>
      <c r="M619">
        <v>269460</v>
      </c>
      <c r="N619">
        <v>24243.68</v>
      </c>
      <c r="O619" t="s">
        <v>31</v>
      </c>
    </row>
    <row r="620" spans="1:15" x14ac:dyDescent="0.25">
      <c r="A620" t="s">
        <v>690</v>
      </c>
      <c r="B620" s="1">
        <v>45945</v>
      </c>
      <c r="C620" t="s">
        <v>65</v>
      </c>
      <c r="D620" t="s">
        <v>66</v>
      </c>
      <c r="E620" t="s">
        <v>67</v>
      </c>
      <c r="F620" t="s">
        <v>63</v>
      </c>
      <c r="G620" t="s">
        <v>28</v>
      </c>
      <c r="H620" t="s">
        <v>77</v>
      </c>
      <c r="I620" t="s">
        <v>88</v>
      </c>
      <c r="J620">
        <v>3</v>
      </c>
      <c r="K620">
        <v>52401</v>
      </c>
      <c r="L620">
        <v>5</v>
      </c>
      <c r="M620">
        <v>149342.85</v>
      </c>
      <c r="N620">
        <v>30837.64</v>
      </c>
      <c r="O620" t="s">
        <v>34</v>
      </c>
    </row>
    <row r="621" spans="1:15" x14ac:dyDescent="0.25">
      <c r="A621" t="s">
        <v>691</v>
      </c>
      <c r="B621" s="1">
        <v>45860</v>
      </c>
      <c r="C621" t="s">
        <v>16</v>
      </c>
      <c r="D621" t="s">
        <v>44</v>
      </c>
      <c r="E621" t="s">
        <v>44</v>
      </c>
      <c r="F621" t="s">
        <v>47</v>
      </c>
      <c r="G621" t="s">
        <v>20</v>
      </c>
      <c r="H621" t="s">
        <v>40</v>
      </c>
      <c r="I621" t="s">
        <v>80</v>
      </c>
      <c r="J621">
        <v>5</v>
      </c>
      <c r="K621">
        <v>16077</v>
      </c>
      <c r="L621">
        <v>20</v>
      </c>
      <c r="M621">
        <v>64308</v>
      </c>
      <c r="N621">
        <v>9323.92</v>
      </c>
      <c r="O621" t="s">
        <v>34</v>
      </c>
    </row>
    <row r="622" spans="1:15" x14ac:dyDescent="0.25">
      <c r="A622" t="s">
        <v>692</v>
      </c>
      <c r="B622" s="1">
        <v>45982</v>
      </c>
      <c r="C622" t="s">
        <v>36</v>
      </c>
      <c r="D622" t="s">
        <v>37</v>
      </c>
      <c r="E622" t="s">
        <v>38</v>
      </c>
      <c r="F622" t="s">
        <v>19</v>
      </c>
      <c r="G622" t="s">
        <v>28</v>
      </c>
      <c r="H622" t="s">
        <v>29</v>
      </c>
      <c r="I622" t="s">
        <v>48</v>
      </c>
      <c r="J622">
        <v>9</v>
      </c>
      <c r="K622">
        <v>47623</v>
      </c>
      <c r="L622">
        <v>0</v>
      </c>
      <c r="M622">
        <v>428607</v>
      </c>
      <c r="N622">
        <v>92010.01</v>
      </c>
      <c r="O622" t="s">
        <v>34</v>
      </c>
    </row>
    <row r="623" spans="1:15" x14ac:dyDescent="0.25">
      <c r="A623" t="s">
        <v>693</v>
      </c>
      <c r="B623" s="1">
        <v>45886</v>
      </c>
      <c r="C623" t="s">
        <v>25</v>
      </c>
      <c r="D623" t="s">
        <v>26</v>
      </c>
      <c r="E623" t="s">
        <v>27</v>
      </c>
      <c r="F623" t="s">
        <v>52</v>
      </c>
      <c r="G623" t="s">
        <v>20</v>
      </c>
      <c r="H623" t="s">
        <v>68</v>
      </c>
      <c r="I623" t="s">
        <v>69</v>
      </c>
      <c r="J623">
        <v>9</v>
      </c>
      <c r="K623">
        <v>25333</v>
      </c>
      <c r="L623">
        <v>20</v>
      </c>
      <c r="M623">
        <v>182397.6</v>
      </c>
      <c r="N623">
        <v>18069.63</v>
      </c>
      <c r="O623" t="s">
        <v>23</v>
      </c>
    </row>
    <row r="624" spans="1:15" x14ac:dyDescent="0.25">
      <c r="A624" t="s">
        <v>694</v>
      </c>
      <c r="B624" s="1">
        <v>45934</v>
      </c>
      <c r="C624" t="s">
        <v>65</v>
      </c>
      <c r="D624" t="s">
        <v>66</v>
      </c>
      <c r="E624" t="s">
        <v>67</v>
      </c>
      <c r="F624" t="s">
        <v>72</v>
      </c>
      <c r="G624" t="s">
        <v>20</v>
      </c>
      <c r="H624" t="s">
        <v>68</v>
      </c>
      <c r="I624" t="s">
        <v>90</v>
      </c>
      <c r="J624">
        <v>5</v>
      </c>
      <c r="K624">
        <v>52645</v>
      </c>
      <c r="L624">
        <v>20</v>
      </c>
      <c r="M624">
        <v>210580</v>
      </c>
      <c r="N624">
        <v>32696.79</v>
      </c>
      <c r="O624" t="s">
        <v>23</v>
      </c>
    </row>
    <row r="625" spans="1:15" x14ac:dyDescent="0.25">
      <c r="A625" t="s">
        <v>695</v>
      </c>
      <c r="B625" s="1">
        <v>45882</v>
      </c>
      <c r="C625" t="s">
        <v>65</v>
      </c>
      <c r="D625" t="s">
        <v>82</v>
      </c>
      <c r="E625" t="s">
        <v>83</v>
      </c>
      <c r="F625" t="s">
        <v>33</v>
      </c>
      <c r="G625" t="s">
        <v>20</v>
      </c>
      <c r="H625" t="s">
        <v>21</v>
      </c>
      <c r="I625" t="s">
        <v>45</v>
      </c>
      <c r="J625">
        <v>2</v>
      </c>
      <c r="K625">
        <v>43619</v>
      </c>
      <c r="L625">
        <v>10</v>
      </c>
      <c r="M625">
        <v>78514.2</v>
      </c>
      <c r="N625">
        <v>17920.310000000001</v>
      </c>
      <c r="O625" t="s">
        <v>42</v>
      </c>
    </row>
    <row r="626" spans="1:15" x14ac:dyDescent="0.25">
      <c r="A626" t="s">
        <v>696</v>
      </c>
      <c r="B626" s="1">
        <v>45740</v>
      </c>
      <c r="C626" t="s">
        <v>65</v>
      </c>
      <c r="D626" t="s">
        <v>82</v>
      </c>
      <c r="E626" t="s">
        <v>83</v>
      </c>
      <c r="F626" t="s">
        <v>33</v>
      </c>
      <c r="G626" t="s">
        <v>20</v>
      </c>
      <c r="H626" t="s">
        <v>21</v>
      </c>
      <c r="I626" t="s">
        <v>45</v>
      </c>
      <c r="J626">
        <v>10</v>
      </c>
      <c r="K626">
        <v>77219</v>
      </c>
      <c r="L626">
        <v>15</v>
      </c>
      <c r="M626">
        <v>656361.5</v>
      </c>
      <c r="N626">
        <v>128417.45</v>
      </c>
      <c r="O626" t="s">
        <v>42</v>
      </c>
    </row>
    <row r="627" spans="1:15" x14ac:dyDescent="0.25">
      <c r="A627" t="s">
        <v>697</v>
      </c>
      <c r="B627" s="1">
        <v>45660</v>
      </c>
      <c r="C627" t="s">
        <v>36</v>
      </c>
      <c r="D627" t="s">
        <v>85</v>
      </c>
      <c r="E627" t="s">
        <v>86</v>
      </c>
      <c r="F627" t="s">
        <v>19</v>
      </c>
      <c r="G627" t="s">
        <v>28</v>
      </c>
      <c r="H627" t="s">
        <v>40</v>
      </c>
      <c r="I627" t="s">
        <v>80</v>
      </c>
      <c r="J627">
        <v>2</v>
      </c>
      <c r="K627">
        <v>4910</v>
      </c>
      <c r="L627">
        <v>15</v>
      </c>
      <c r="M627">
        <v>8347</v>
      </c>
      <c r="N627">
        <v>1236.5899999999999</v>
      </c>
      <c r="O627" t="s">
        <v>23</v>
      </c>
    </row>
    <row r="628" spans="1:15" x14ac:dyDescent="0.25">
      <c r="A628" t="s">
        <v>698</v>
      </c>
      <c r="B628" s="1">
        <v>45956</v>
      </c>
      <c r="C628" t="s">
        <v>65</v>
      </c>
      <c r="D628" t="s">
        <v>82</v>
      </c>
      <c r="E628" t="s">
        <v>83</v>
      </c>
      <c r="F628" t="s">
        <v>93</v>
      </c>
      <c r="G628" t="s">
        <v>20</v>
      </c>
      <c r="H628" t="s">
        <v>77</v>
      </c>
      <c r="I628" t="s">
        <v>78</v>
      </c>
      <c r="J628">
        <v>3</v>
      </c>
      <c r="K628">
        <v>67961</v>
      </c>
      <c r="L628">
        <v>5</v>
      </c>
      <c r="M628">
        <v>193688.85</v>
      </c>
      <c r="N628">
        <v>39352.03</v>
      </c>
      <c r="O628" t="s">
        <v>31</v>
      </c>
    </row>
    <row r="629" spans="1:15" x14ac:dyDescent="0.25">
      <c r="A629" t="s">
        <v>699</v>
      </c>
      <c r="B629" s="1">
        <v>45819</v>
      </c>
      <c r="C629" t="s">
        <v>65</v>
      </c>
      <c r="D629" t="s">
        <v>66</v>
      </c>
      <c r="E629" t="s">
        <v>67</v>
      </c>
      <c r="F629" t="s">
        <v>52</v>
      </c>
      <c r="G629" t="s">
        <v>20</v>
      </c>
      <c r="H629" t="s">
        <v>29</v>
      </c>
      <c r="I629" t="s">
        <v>53</v>
      </c>
      <c r="J629">
        <v>9</v>
      </c>
      <c r="K629">
        <v>77198</v>
      </c>
      <c r="L629">
        <v>5</v>
      </c>
      <c r="M629">
        <v>660042.9</v>
      </c>
      <c r="N629">
        <v>130398.35</v>
      </c>
      <c r="O629" t="s">
        <v>34</v>
      </c>
    </row>
    <row r="630" spans="1:15" x14ac:dyDescent="0.25">
      <c r="A630" t="s">
        <v>700</v>
      </c>
      <c r="B630" s="1">
        <v>45895</v>
      </c>
      <c r="C630" t="s">
        <v>36</v>
      </c>
      <c r="D630" t="s">
        <v>50</v>
      </c>
      <c r="E630" t="s">
        <v>51</v>
      </c>
      <c r="F630" t="s">
        <v>47</v>
      </c>
      <c r="G630" t="s">
        <v>20</v>
      </c>
      <c r="H630" t="s">
        <v>40</v>
      </c>
      <c r="I630" t="s">
        <v>59</v>
      </c>
      <c r="J630">
        <v>9</v>
      </c>
      <c r="K630">
        <v>77529</v>
      </c>
      <c r="L630">
        <v>20</v>
      </c>
      <c r="M630">
        <v>558208.80000000005</v>
      </c>
      <c r="N630">
        <v>58813.63</v>
      </c>
      <c r="O630" t="s">
        <v>23</v>
      </c>
    </row>
    <row r="631" spans="1:15" x14ac:dyDescent="0.25">
      <c r="A631" t="s">
        <v>701</v>
      </c>
      <c r="B631" s="1">
        <v>45826</v>
      </c>
      <c r="C631" t="s">
        <v>36</v>
      </c>
      <c r="D631" t="s">
        <v>85</v>
      </c>
      <c r="E631" t="s">
        <v>86</v>
      </c>
      <c r="F631" t="s">
        <v>39</v>
      </c>
      <c r="G631" t="s">
        <v>20</v>
      </c>
      <c r="H631" t="s">
        <v>29</v>
      </c>
      <c r="I631" t="s">
        <v>48</v>
      </c>
      <c r="J631">
        <v>9</v>
      </c>
      <c r="K631">
        <v>24226</v>
      </c>
      <c r="L631">
        <v>20</v>
      </c>
      <c r="M631">
        <v>174427.2</v>
      </c>
      <c r="N631">
        <v>27514.51</v>
      </c>
      <c r="O631" t="s">
        <v>34</v>
      </c>
    </row>
    <row r="632" spans="1:15" x14ac:dyDescent="0.25">
      <c r="A632" t="s">
        <v>702</v>
      </c>
      <c r="B632" s="1">
        <v>45723</v>
      </c>
      <c r="C632" t="s">
        <v>16</v>
      </c>
      <c r="D632" t="s">
        <v>106</v>
      </c>
      <c r="E632" t="s">
        <v>107</v>
      </c>
      <c r="F632" t="s">
        <v>39</v>
      </c>
      <c r="G632" t="s">
        <v>28</v>
      </c>
      <c r="H632" t="s">
        <v>21</v>
      </c>
      <c r="I632" t="s">
        <v>56</v>
      </c>
      <c r="J632">
        <v>4</v>
      </c>
      <c r="K632">
        <v>73007</v>
      </c>
      <c r="L632">
        <v>15</v>
      </c>
      <c r="M632">
        <v>248223.8</v>
      </c>
      <c r="N632">
        <v>40835.589999999997</v>
      </c>
      <c r="O632" t="s">
        <v>31</v>
      </c>
    </row>
    <row r="633" spans="1:15" x14ac:dyDescent="0.25">
      <c r="A633" t="s">
        <v>703</v>
      </c>
      <c r="B633" s="1">
        <v>45947</v>
      </c>
      <c r="C633" t="s">
        <v>16</v>
      </c>
      <c r="D633" t="s">
        <v>17</v>
      </c>
      <c r="E633" t="s">
        <v>18</v>
      </c>
      <c r="F633" t="s">
        <v>19</v>
      </c>
      <c r="G633" t="s">
        <v>20</v>
      </c>
      <c r="H633" t="s">
        <v>68</v>
      </c>
      <c r="I633" t="s">
        <v>94</v>
      </c>
      <c r="J633">
        <v>5</v>
      </c>
      <c r="K633">
        <v>73988</v>
      </c>
      <c r="L633">
        <v>10</v>
      </c>
      <c r="M633">
        <v>332946</v>
      </c>
      <c r="N633">
        <v>71050.210000000006</v>
      </c>
      <c r="O633" t="s">
        <v>42</v>
      </c>
    </row>
    <row r="634" spans="1:15" x14ac:dyDescent="0.25">
      <c r="A634" t="s">
        <v>704</v>
      </c>
      <c r="B634" s="1">
        <v>45836</v>
      </c>
      <c r="C634" t="s">
        <v>65</v>
      </c>
      <c r="D634" t="s">
        <v>66</v>
      </c>
      <c r="E634" t="s">
        <v>67</v>
      </c>
      <c r="F634" t="s">
        <v>19</v>
      </c>
      <c r="G634" t="s">
        <v>28</v>
      </c>
      <c r="H634" t="s">
        <v>40</v>
      </c>
      <c r="I634" t="s">
        <v>41</v>
      </c>
      <c r="J634">
        <v>2</v>
      </c>
      <c r="K634">
        <v>1241</v>
      </c>
      <c r="L634">
        <v>20</v>
      </c>
      <c r="M634">
        <v>1985.6</v>
      </c>
      <c r="N634">
        <v>314.87</v>
      </c>
      <c r="O634" t="s">
        <v>31</v>
      </c>
    </row>
    <row r="635" spans="1:15" x14ac:dyDescent="0.25">
      <c r="A635" t="s">
        <v>705</v>
      </c>
      <c r="B635" s="1">
        <v>45868</v>
      </c>
      <c r="C635" t="s">
        <v>65</v>
      </c>
      <c r="D635" t="s">
        <v>82</v>
      </c>
      <c r="E635" t="s">
        <v>83</v>
      </c>
      <c r="F635" t="s">
        <v>93</v>
      </c>
      <c r="G635" t="s">
        <v>28</v>
      </c>
      <c r="H635" t="s">
        <v>21</v>
      </c>
      <c r="I635" t="s">
        <v>22</v>
      </c>
      <c r="J635">
        <v>5</v>
      </c>
      <c r="K635">
        <v>13972</v>
      </c>
      <c r="L635">
        <v>20</v>
      </c>
      <c r="M635">
        <v>55888</v>
      </c>
      <c r="N635">
        <v>10149.120000000001</v>
      </c>
      <c r="O635" t="s">
        <v>23</v>
      </c>
    </row>
    <row r="636" spans="1:15" x14ac:dyDescent="0.25">
      <c r="A636" t="s">
        <v>706</v>
      </c>
      <c r="B636" s="1">
        <v>45700</v>
      </c>
      <c r="C636" t="s">
        <v>65</v>
      </c>
      <c r="D636" t="s">
        <v>66</v>
      </c>
      <c r="E636" t="s">
        <v>67</v>
      </c>
      <c r="F636" t="s">
        <v>47</v>
      </c>
      <c r="G636" t="s">
        <v>20</v>
      </c>
      <c r="H636" t="s">
        <v>68</v>
      </c>
      <c r="I636" t="s">
        <v>94</v>
      </c>
      <c r="J636">
        <v>7</v>
      </c>
      <c r="K636">
        <v>77548</v>
      </c>
      <c r="L636">
        <v>0</v>
      </c>
      <c r="M636">
        <v>542836</v>
      </c>
      <c r="N636">
        <v>64755.25</v>
      </c>
      <c r="O636" t="s">
        <v>31</v>
      </c>
    </row>
    <row r="637" spans="1:15" x14ac:dyDescent="0.25">
      <c r="A637" t="s">
        <v>707</v>
      </c>
      <c r="B637" s="1">
        <v>45702</v>
      </c>
      <c r="C637" t="s">
        <v>36</v>
      </c>
      <c r="D637" t="s">
        <v>85</v>
      </c>
      <c r="E637" t="s">
        <v>86</v>
      </c>
      <c r="F637" t="s">
        <v>63</v>
      </c>
      <c r="G637" t="s">
        <v>20</v>
      </c>
      <c r="H637" t="s">
        <v>29</v>
      </c>
      <c r="I637" t="s">
        <v>30</v>
      </c>
      <c r="J637">
        <v>2</v>
      </c>
      <c r="K637">
        <v>31441</v>
      </c>
      <c r="L637">
        <v>15</v>
      </c>
      <c r="M637">
        <v>53449.7</v>
      </c>
      <c r="N637">
        <v>12193.46</v>
      </c>
      <c r="O637" t="s">
        <v>34</v>
      </c>
    </row>
    <row r="638" spans="1:15" x14ac:dyDescent="0.25">
      <c r="A638" t="s">
        <v>708</v>
      </c>
      <c r="B638" s="1">
        <v>45684</v>
      </c>
      <c r="C638" t="s">
        <v>36</v>
      </c>
      <c r="D638" t="s">
        <v>37</v>
      </c>
      <c r="E638" t="s">
        <v>38</v>
      </c>
      <c r="F638" t="s">
        <v>39</v>
      </c>
      <c r="G638" t="s">
        <v>20</v>
      </c>
      <c r="H638" t="s">
        <v>68</v>
      </c>
      <c r="I638" t="s">
        <v>90</v>
      </c>
      <c r="J638">
        <v>10</v>
      </c>
      <c r="K638">
        <v>56475</v>
      </c>
      <c r="L638">
        <v>5</v>
      </c>
      <c r="M638">
        <v>536512.5</v>
      </c>
      <c r="N638">
        <v>109826.69</v>
      </c>
      <c r="O638" t="s">
        <v>31</v>
      </c>
    </row>
    <row r="639" spans="1:15" x14ac:dyDescent="0.25">
      <c r="A639" t="s">
        <v>709</v>
      </c>
      <c r="B639" s="1">
        <v>46019</v>
      </c>
      <c r="C639" t="s">
        <v>25</v>
      </c>
      <c r="D639" t="s">
        <v>61</v>
      </c>
      <c r="E639" t="s">
        <v>62</v>
      </c>
      <c r="F639" t="s">
        <v>93</v>
      </c>
      <c r="G639" t="s">
        <v>28</v>
      </c>
      <c r="H639" t="s">
        <v>68</v>
      </c>
      <c r="I639" t="s">
        <v>94</v>
      </c>
      <c r="J639">
        <v>1</v>
      </c>
      <c r="K639">
        <v>18427</v>
      </c>
      <c r="L639">
        <v>0</v>
      </c>
      <c r="M639">
        <v>18427</v>
      </c>
      <c r="N639">
        <v>2542.4499999999998</v>
      </c>
      <c r="O639" t="s">
        <v>23</v>
      </c>
    </row>
    <row r="640" spans="1:15" x14ac:dyDescent="0.25">
      <c r="A640" t="s">
        <v>710</v>
      </c>
      <c r="B640" s="1">
        <v>45713</v>
      </c>
      <c r="C640" t="s">
        <v>16</v>
      </c>
      <c r="D640" t="s">
        <v>44</v>
      </c>
      <c r="E640" t="s">
        <v>44</v>
      </c>
      <c r="F640" t="s">
        <v>63</v>
      </c>
      <c r="G640" t="s">
        <v>20</v>
      </c>
      <c r="H640" t="s">
        <v>40</v>
      </c>
      <c r="I640" t="s">
        <v>80</v>
      </c>
      <c r="J640">
        <v>5</v>
      </c>
      <c r="K640">
        <v>14808</v>
      </c>
      <c r="L640">
        <v>10</v>
      </c>
      <c r="M640">
        <v>66636</v>
      </c>
      <c r="N640">
        <v>5485.78</v>
      </c>
      <c r="O640" t="s">
        <v>42</v>
      </c>
    </row>
    <row r="641" spans="1:15" x14ac:dyDescent="0.25">
      <c r="A641" t="s">
        <v>711</v>
      </c>
      <c r="B641" s="1">
        <v>45758</v>
      </c>
      <c r="C641" t="s">
        <v>36</v>
      </c>
      <c r="D641" t="s">
        <v>85</v>
      </c>
      <c r="E641" t="s">
        <v>86</v>
      </c>
      <c r="F641" t="s">
        <v>93</v>
      </c>
      <c r="G641" t="s">
        <v>28</v>
      </c>
      <c r="H641" t="s">
        <v>77</v>
      </c>
      <c r="I641" t="s">
        <v>88</v>
      </c>
      <c r="J641">
        <v>5</v>
      </c>
      <c r="K641">
        <v>14097</v>
      </c>
      <c r="L641">
        <v>20</v>
      </c>
      <c r="M641">
        <v>56388</v>
      </c>
      <c r="N641">
        <v>13670.73</v>
      </c>
      <c r="O641" t="s">
        <v>31</v>
      </c>
    </row>
    <row r="642" spans="1:15" x14ac:dyDescent="0.25">
      <c r="A642" t="s">
        <v>712</v>
      </c>
      <c r="B642" s="1">
        <v>45740</v>
      </c>
      <c r="C642" t="s">
        <v>25</v>
      </c>
      <c r="D642" t="s">
        <v>26</v>
      </c>
      <c r="E642" t="s">
        <v>27</v>
      </c>
      <c r="F642" t="s">
        <v>52</v>
      </c>
      <c r="G642" t="s">
        <v>20</v>
      </c>
      <c r="H642" t="s">
        <v>21</v>
      </c>
      <c r="I642" t="s">
        <v>56</v>
      </c>
      <c r="J642">
        <v>5</v>
      </c>
      <c r="K642">
        <v>50312</v>
      </c>
      <c r="L642">
        <v>10</v>
      </c>
      <c r="M642">
        <v>226404</v>
      </c>
      <c r="N642">
        <v>36493.919999999998</v>
      </c>
      <c r="O642" t="s">
        <v>31</v>
      </c>
    </row>
    <row r="643" spans="1:15" x14ac:dyDescent="0.25">
      <c r="A643" t="s">
        <v>713</v>
      </c>
      <c r="B643" s="1">
        <v>45841</v>
      </c>
      <c r="C643" t="s">
        <v>25</v>
      </c>
      <c r="D643" t="s">
        <v>26</v>
      </c>
      <c r="E643" t="s">
        <v>27</v>
      </c>
      <c r="F643" t="s">
        <v>72</v>
      </c>
      <c r="G643" t="s">
        <v>28</v>
      </c>
      <c r="H643" t="s">
        <v>40</v>
      </c>
      <c r="I643" t="s">
        <v>59</v>
      </c>
      <c r="J643">
        <v>5</v>
      </c>
      <c r="K643">
        <v>69659</v>
      </c>
      <c r="L643">
        <v>0</v>
      </c>
      <c r="M643">
        <v>348295</v>
      </c>
      <c r="N643">
        <v>50495.61</v>
      </c>
      <c r="O643" t="s">
        <v>31</v>
      </c>
    </row>
    <row r="644" spans="1:15" x14ac:dyDescent="0.25">
      <c r="A644" t="s">
        <v>714</v>
      </c>
      <c r="B644" s="1">
        <v>46022</v>
      </c>
      <c r="C644" t="s">
        <v>65</v>
      </c>
      <c r="D644" t="s">
        <v>82</v>
      </c>
      <c r="E644" t="s">
        <v>83</v>
      </c>
      <c r="F644" t="s">
        <v>39</v>
      </c>
      <c r="G644" t="s">
        <v>20</v>
      </c>
      <c r="H644" t="s">
        <v>29</v>
      </c>
      <c r="I644" t="s">
        <v>48</v>
      </c>
      <c r="J644">
        <v>2</v>
      </c>
      <c r="K644">
        <v>71965</v>
      </c>
      <c r="L644">
        <v>5</v>
      </c>
      <c r="M644">
        <v>136733.5</v>
      </c>
      <c r="N644">
        <v>21323.27</v>
      </c>
      <c r="O644" t="s">
        <v>42</v>
      </c>
    </row>
    <row r="645" spans="1:15" x14ac:dyDescent="0.25">
      <c r="A645" t="s">
        <v>715</v>
      </c>
      <c r="B645" s="1">
        <v>45724</v>
      </c>
      <c r="C645" t="s">
        <v>36</v>
      </c>
      <c r="D645" t="s">
        <v>85</v>
      </c>
      <c r="E645" t="s">
        <v>86</v>
      </c>
      <c r="F645" t="s">
        <v>47</v>
      </c>
      <c r="G645" t="s">
        <v>20</v>
      </c>
      <c r="H645" t="s">
        <v>68</v>
      </c>
      <c r="I645" t="s">
        <v>90</v>
      </c>
      <c r="J645">
        <v>2</v>
      </c>
      <c r="K645">
        <v>3665</v>
      </c>
      <c r="L645">
        <v>0</v>
      </c>
      <c r="M645">
        <v>7330</v>
      </c>
      <c r="N645">
        <v>1689.72</v>
      </c>
      <c r="O645" t="s">
        <v>23</v>
      </c>
    </row>
    <row r="646" spans="1:15" x14ac:dyDescent="0.25">
      <c r="A646" t="s">
        <v>716</v>
      </c>
      <c r="B646" s="1">
        <v>45790</v>
      </c>
      <c r="C646" t="s">
        <v>16</v>
      </c>
      <c r="D646" t="s">
        <v>44</v>
      </c>
      <c r="E646" t="s">
        <v>44</v>
      </c>
      <c r="F646" t="s">
        <v>72</v>
      </c>
      <c r="G646" t="s">
        <v>28</v>
      </c>
      <c r="H646" t="s">
        <v>68</v>
      </c>
      <c r="I646" t="s">
        <v>90</v>
      </c>
      <c r="J646">
        <v>10</v>
      </c>
      <c r="K646">
        <v>18884</v>
      </c>
      <c r="L646">
        <v>5</v>
      </c>
      <c r="M646">
        <v>179398</v>
      </c>
      <c r="N646">
        <v>41666.400000000001</v>
      </c>
      <c r="O646" t="s">
        <v>31</v>
      </c>
    </row>
    <row r="647" spans="1:15" x14ac:dyDescent="0.25">
      <c r="A647" t="s">
        <v>717</v>
      </c>
      <c r="B647" s="1">
        <v>45997</v>
      </c>
      <c r="C647" t="s">
        <v>25</v>
      </c>
      <c r="D647" t="s">
        <v>61</v>
      </c>
      <c r="E647" t="s">
        <v>62</v>
      </c>
      <c r="F647" t="s">
        <v>19</v>
      </c>
      <c r="G647" t="s">
        <v>28</v>
      </c>
      <c r="H647" t="s">
        <v>40</v>
      </c>
      <c r="I647" t="s">
        <v>80</v>
      </c>
      <c r="J647">
        <v>4</v>
      </c>
      <c r="K647">
        <v>17911</v>
      </c>
      <c r="L647">
        <v>10</v>
      </c>
      <c r="M647">
        <v>64479.6</v>
      </c>
      <c r="N647">
        <v>10253.26</v>
      </c>
      <c r="O647" t="s">
        <v>42</v>
      </c>
    </row>
    <row r="648" spans="1:15" x14ac:dyDescent="0.25">
      <c r="A648" t="s">
        <v>718</v>
      </c>
      <c r="B648" s="1">
        <v>45839</v>
      </c>
      <c r="C648" t="s">
        <v>36</v>
      </c>
      <c r="D648" t="s">
        <v>50</v>
      </c>
      <c r="E648" t="s">
        <v>51</v>
      </c>
      <c r="F648" t="s">
        <v>19</v>
      </c>
      <c r="G648" t="s">
        <v>28</v>
      </c>
      <c r="H648" t="s">
        <v>29</v>
      </c>
      <c r="I648" t="s">
        <v>30</v>
      </c>
      <c r="J648">
        <v>9</v>
      </c>
      <c r="K648">
        <v>12235</v>
      </c>
      <c r="L648">
        <v>20</v>
      </c>
      <c r="M648">
        <v>88092</v>
      </c>
      <c r="N648">
        <v>11700.93</v>
      </c>
      <c r="O648" t="s">
        <v>23</v>
      </c>
    </row>
    <row r="649" spans="1:15" x14ac:dyDescent="0.25">
      <c r="A649" t="s">
        <v>719</v>
      </c>
      <c r="B649" s="1">
        <v>45834</v>
      </c>
      <c r="C649" t="s">
        <v>25</v>
      </c>
      <c r="D649" t="s">
        <v>26</v>
      </c>
      <c r="E649" t="s">
        <v>27</v>
      </c>
      <c r="F649" t="s">
        <v>19</v>
      </c>
      <c r="G649" t="s">
        <v>20</v>
      </c>
      <c r="H649" t="s">
        <v>40</v>
      </c>
      <c r="I649" t="s">
        <v>59</v>
      </c>
      <c r="J649">
        <v>3</v>
      </c>
      <c r="K649">
        <v>35871</v>
      </c>
      <c r="L649">
        <v>15</v>
      </c>
      <c r="M649">
        <v>91471.05</v>
      </c>
      <c r="N649">
        <v>11499.14</v>
      </c>
      <c r="O649" t="s">
        <v>34</v>
      </c>
    </row>
    <row r="650" spans="1:15" x14ac:dyDescent="0.25">
      <c r="A650" t="s">
        <v>720</v>
      </c>
      <c r="B650" s="1">
        <v>45969</v>
      </c>
      <c r="C650" t="s">
        <v>36</v>
      </c>
      <c r="D650" t="s">
        <v>85</v>
      </c>
      <c r="E650" t="s">
        <v>86</v>
      </c>
      <c r="F650" t="s">
        <v>63</v>
      </c>
      <c r="G650" t="s">
        <v>28</v>
      </c>
      <c r="H650" t="s">
        <v>77</v>
      </c>
      <c r="I650" t="s">
        <v>78</v>
      </c>
      <c r="J650">
        <v>4</v>
      </c>
      <c r="K650">
        <v>535</v>
      </c>
      <c r="L650">
        <v>10</v>
      </c>
      <c r="M650">
        <v>1926</v>
      </c>
      <c r="N650">
        <v>329.17</v>
      </c>
      <c r="O650" t="s">
        <v>42</v>
      </c>
    </row>
    <row r="651" spans="1:15" x14ac:dyDescent="0.25">
      <c r="A651" t="s">
        <v>721</v>
      </c>
      <c r="B651" s="1">
        <v>45747</v>
      </c>
      <c r="C651" t="s">
        <v>36</v>
      </c>
      <c r="D651" t="s">
        <v>85</v>
      </c>
      <c r="E651" t="s">
        <v>86</v>
      </c>
      <c r="F651" t="s">
        <v>52</v>
      </c>
      <c r="G651" t="s">
        <v>28</v>
      </c>
      <c r="H651" t="s">
        <v>77</v>
      </c>
      <c r="I651" t="s">
        <v>100</v>
      </c>
      <c r="J651">
        <v>10</v>
      </c>
      <c r="K651">
        <v>52947</v>
      </c>
      <c r="L651">
        <v>5</v>
      </c>
      <c r="M651">
        <v>502996.5</v>
      </c>
      <c r="N651">
        <v>70089.14</v>
      </c>
      <c r="O651" t="s">
        <v>42</v>
      </c>
    </row>
    <row r="652" spans="1:15" x14ac:dyDescent="0.25">
      <c r="A652" t="s">
        <v>722</v>
      </c>
      <c r="B652" s="1">
        <v>45815</v>
      </c>
      <c r="C652" t="s">
        <v>65</v>
      </c>
      <c r="D652" t="s">
        <v>66</v>
      </c>
      <c r="E652" t="s">
        <v>67</v>
      </c>
      <c r="F652" t="s">
        <v>72</v>
      </c>
      <c r="G652" t="s">
        <v>28</v>
      </c>
      <c r="H652" t="s">
        <v>21</v>
      </c>
      <c r="I652" t="s">
        <v>22</v>
      </c>
      <c r="J652">
        <v>7</v>
      </c>
      <c r="K652">
        <v>73514</v>
      </c>
      <c r="L652">
        <v>0</v>
      </c>
      <c r="M652">
        <v>514598</v>
      </c>
      <c r="N652">
        <v>64621.31</v>
      </c>
      <c r="O652" t="s">
        <v>23</v>
      </c>
    </row>
    <row r="653" spans="1:15" x14ac:dyDescent="0.25">
      <c r="A653" t="s">
        <v>723</v>
      </c>
      <c r="B653" s="1">
        <v>45728</v>
      </c>
      <c r="C653" t="s">
        <v>36</v>
      </c>
      <c r="D653" t="s">
        <v>37</v>
      </c>
      <c r="E653" t="s">
        <v>38</v>
      </c>
      <c r="F653" t="s">
        <v>52</v>
      </c>
      <c r="G653" t="s">
        <v>28</v>
      </c>
      <c r="H653" t="s">
        <v>40</v>
      </c>
      <c r="I653" t="s">
        <v>41</v>
      </c>
      <c r="J653">
        <v>8</v>
      </c>
      <c r="K653">
        <v>55610</v>
      </c>
      <c r="L653">
        <v>20</v>
      </c>
      <c r="M653">
        <v>355904</v>
      </c>
      <c r="N653">
        <v>80292.289999999994</v>
      </c>
      <c r="O653" t="s">
        <v>42</v>
      </c>
    </row>
    <row r="654" spans="1:15" x14ac:dyDescent="0.25">
      <c r="A654" t="s">
        <v>724</v>
      </c>
      <c r="B654" s="1">
        <v>45663</v>
      </c>
      <c r="C654" t="s">
        <v>25</v>
      </c>
      <c r="D654" t="s">
        <v>61</v>
      </c>
      <c r="E654" t="s">
        <v>62</v>
      </c>
      <c r="F654" t="s">
        <v>33</v>
      </c>
      <c r="G654" t="s">
        <v>20</v>
      </c>
      <c r="H654" t="s">
        <v>21</v>
      </c>
      <c r="I654" t="s">
        <v>56</v>
      </c>
      <c r="J654">
        <v>5</v>
      </c>
      <c r="K654">
        <v>75589</v>
      </c>
      <c r="L654">
        <v>15</v>
      </c>
      <c r="M654">
        <v>321253.25</v>
      </c>
      <c r="N654">
        <v>42917.64</v>
      </c>
      <c r="O654" t="s">
        <v>23</v>
      </c>
    </row>
    <row r="655" spans="1:15" x14ac:dyDescent="0.25">
      <c r="A655" t="s">
        <v>725</v>
      </c>
      <c r="B655" s="1">
        <v>45775</v>
      </c>
      <c r="C655" t="s">
        <v>25</v>
      </c>
      <c r="D655" t="s">
        <v>26</v>
      </c>
      <c r="E655" t="s">
        <v>27</v>
      </c>
      <c r="F655" t="s">
        <v>63</v>
      </c>
      <c r="G655" t="s">
        <v>28</v>
      </c>
      <c r="H655" t="s">
        <v>21</v>
      </c>
      <c r="I655" t="s">
        <v>22</v>
      </c>
      <c r="J655">
        <v>10</v>
      </c>
      <c r="K655">
        <v>72465</v>
      </c>
      <c r="L655">
        <v>20</v>
      </c>
      <c r="M655">
        <v>579720</v>
      </c>
      <c r="N655">
        <v>56394.54</v>
      </c>
      <c r="O655" t="s">
        <v>34</v>
      </c>
    </row>
    <row r="656" spans="1:15" x14ac:dyDescent="0.25">
      <c r="A656" t="s">
        <v>726</v>
      </c>
      <c r="B656" s="1">
        <v>45841</v>
      </c>
      <c r="C656" t="s">
        <v>36</v>
      </c>
      <c r="D656" t="s">
        <v>50</v>
      </c>
      <c r="E656" t="s">
        <v>51</v>
      </c>
      <c r="F656" t="s">
        <v>39</v>
      </c>
      <c r="G656" t="s">
        <v>28</v>
      </c>
      <c r="H656" t="s">
        <v>29</v>
      </c>
      <c r="I656" t="s">
        <v>48</v>
      </c>
      <c r="J656">
        <v>10</v>
      </c>
      <c r="K656">
        <v>65182</v>
      </c>
      <c r="L656">
        <v>5</v>
      </c>
      <c r="M656">
        <v>619229</v>
      </c>
      <c r="N656">
        <v>116075.67</v>
      </c>
      <c r="O656" t="s">
        <v>31</v>
      </c>
    </row>
    <row r="657" spans="1:15" x14ac:dyDescent="0.25">
      <c r="A657" t="s">
        <v>727</v>
      </c>
      <c r="B657" s="1">
        <v>45798</v>
      </c>
      <c r="C657" t="s">
        <v>65</v>
      </c>
      <c r="D657" t="s">
        <v>66</v>
      </c>
      <c r="E657" t="s">
        <v>67</v>
      </c>
      <c r="F657" t="s">
        <v>33</v>
      </c>
      <c r="G657" t="s">
        <v>28</v>
      </c>
      <c r="H657" t="s">
        <v>77</v>
      </c>
      <c r="I657" t="s">
        <v>100</v>
      </c>
      <c r="J657">
        <v>4</v>
      </c>
      <c r="K657">
        <v>50374</v>
      </c>
      <c r="L657">
        <v>15</v>
      </c>
      <c r="M657">
        <v>171271.6</v>
      </c>
      <c r="N657">
        <v>39723.18</v>
      </c>
      <c r="O657" t="s">
        <v>42</v>
      </c>
    </row>
    <row r="658" spans="1:15" x14ac:dyDescent="0.25">
      <c r="A658" t="s">
        <v>728</v>
      </c>
      <c r="B658" s="1">
        <v>45681</v>
      </c>
      <c r="C658" t="s">
        <v>36</v>
      </c>
      <c r="D658" t="s">
        <v>85</v>
      </c>
      <c r="E658" t="s">
        <v>86</v>
      </c>
      <c r="F658" t="s">
        <v>39</v>
      </c>
      <c r="G658" t="s">
        <v>20</v>
      </c>
      <c r="H658" t="s">
        <v>77</v>
      </c>
      <c r="I658" t="s">
        <v>88</v>
      </c>
      <c r="J658">
        <v>7</v>
      </c>
      <c r="K658">
        <v>13955</v>
      </c>
      <c r="L658">
        <v>10</v>
      </c>
      <c r="M658">
        <v>87916.5</v>
      </c>
      <c r="N658">
        <v>18641.63</v>
      </c>
      <c r="O658" t="s">
        <v>31</v>
      </c>
    </row>
    <row r="659" spans="1:15" x14ac:dyDescent="0.25">
      <c r="A659" t="s">
        <v>729</v>
      </c>
      <c r="B659" s="1">
        <v>45860</v>
      </c>
      <c r="C659" t="s">
        <v>16</v>
      </c>
      <c r="D659" t="s">
        <v>106</v>
      </c>
      <c r="E659" t="s">
        <v>107</v>
      </c>
      <c r="F659" t="s">
        <v>72</v>
      </c>
      <c r="G659" t="s">
        <v>20</v>
      </c>
      <c r="H659" t="s">
        <v>40</v>
      </c>
      <c r="I659" t="s">
        <v>59</v>
      </c>
      <c r="J659">
        <v>3</v>
      </c>
      <c r="K659">
        <v>47395</v>
      </c>
      <c r="L659">
        <v>20</v>
      </c>
      <c r="M659">
        <v>113748</v>
      </c>
      <c r="N659">
        <v>19733.91</v>
      </c>
      <c r="O659" t="s">
        <v>34</v>
      </c>
    </row>
    <row r="660" spans="1:15" x14ac:dyDescent="0.25">
      <c r="A660" t="s">
        <v>730</v>
      </c>
      <c r="B660" s="1">
        <v>45681</v>
      </c>
      <c r="C660" t="s">
        <v>36</v>
      </c>
      <c r="D660" t="s">
        <v>37</v>
      </c>
      <c r="E660" t="s">
        <v>38</v>
      </c>
      <c r="F660" t="s">
        <v>93</v>
      </c>
      <c r="G660" t="s">
        <v>28</v>
      </c>
      <c r="H660" t="s">
        <v>21</v>
      </c>
      <c r="I660" t="s">
        <v>22</v>
      </c>
      <c r="J660">
        <v>5</v>
      </c>
      <c r="K660">
        <v>3290</v>
      </c>
      <c r="L660">
        <v>0</v>
      </c>
      <c r="M660">
        <v>16450</v>
      </c>
      <c r="N660">
        <v>2839.58</v>
      </c>
      <c r="O660" t="s">
        <v>34</v>
      </c>
    </row>
    <row r="661" spans="1:15" x14ac:dyDescent="0.25">
      <c r="A661" t="s">
        <v>731</v>
      </c>
      <c r="B661" s="1">
        <v>45802</v>
      </c>
      <c r="C661" t="s">
        <v>25</v>
      </c>
      <c r="D661" t="s">
        <v>61</v>
      </c>
      <c r="E661" t="s">
        <v>62</v>
      </c>
      <c r="F661" t="s">
        <v>93</v>
      </c>
      <c r="G661" t="s">
        <v>28</v>
      </c>
      <c r="H661" t="s">
        <v>21</v>
      </c>
      <c r="I661" t="s">
        <v>22</v>
      </c>
      <c r="J661">
        <v>2</v>
      </c>
      <c r="K661">
        <v>29951</v>
      </c>
      <c r="L661">
        <v>5</v>
      </c>
      <c r="M661">
        <v>56906.9</v>
      </c>
      <c r="N661">
        <v>8431.4500000000007</v>
      </c>
      <c r="O661" t="s">
        <v>42</v>
      </c>
    </row>
    <row r="662" spans="1:15" x14ac:dyDescent="0.25">
      <c r="A662" t="s">
        <v>732</v>
      </c>
      <c r="B662" s="1">
        <v>45971</v>
      </c>
      <c r="C662" t="s">
        <v>65</v>
      </c>
      <c r="D662" t="s">
        <v>82</v>
      </c>
      <c r="E662" t="s">
        <v>83</v>
      </c>
      <c r="F662" t="s">
        <v>33</v>
      </c>
      <c r="G662" t="s">
        <v>20</v>
      </c>
      <c r="H662" t="s">
        <v>29</v>
      </c>
      <c r="I662" t="s">
        <v>48</v>
      </c>
      <c r="J662">
        <v>3</v>
      </c>
      <c r="K662">
        <v>73402</v>
      </c>
      <c r="L662">
        <v>5</v>
      </c>
      <c r="M662">
        <v>209195.7</v>
      </c>
      <c r="N662">
        <v>43975.47</v>
      </c>
      <c r="O662" t="s">
        <v>23</v>
      </c>
    </row>
    <row r="663" spans="1:15" x14ac:dyDescent="0.25">
      <c r="A663" t="s">
        <v>733</v>
      </c>
      <c r="B663" s="1">
        <v>45836</v>
      </c>
      <c r="C663" t="s">
        <v>16</v>
      </c>
      <c r="D663" t="s">
        <v>44</v>
      </c>
      <c r="E663" t="s">
        <v>44</v>
      </c>
      <c r="F663" t="s">
        <v>63</v>
      </c>
      <c r="G663" t="s">
        <v>20</v>
      </c>
      <c r="H663" t="s">
        <v>68</v>
      </c>
      <c r="I663" t="s">
        <v>94</v>
      </c>
      <c r="J663">
        <v>8</v>
      </c>
      <c r="K663">
        <v>48982</v>
      </c>
      <c r="L663">
        <v>0</v>
      </c>
      <c r="M663">
        <v>391856</v>
      </c>
      <c r="N663">
        <v>32370.49</v>
      </c>
      <c r="O663" t="s">
        <v>34</v>
      </c>
    </row>
    <row r="664" spans="1:15" x14ac:dyDescent="0.25">
      <c r="A664" t="s">
        <v>734</v>
      </c>
      <c r="B664" s="1">
        <v>45966</v>
      </c>
      <c r="C664" t="s">
        <v>65</v>
      </c>
      <c r="D664" t="s">
        <v>82</v>
      </c>
      <c r="E664" t="s">
        <v>83</v>
      </c>
      <c r="F664" t="s">
        <v>93</v>
      </c>
      <c r="G664" t="s">
        <v>20</v>
      </c>
      <c r="H664" t="s">
        <v>68</v>
      </c>
      <c r="I664" t="s">
        <v>69</v>
      </c>
      <c r="J664">
        <v>10</v>
      </c>
      <c r="K664">
        <v>69557</v>
      </c>
      <c r="L664">
        <v>10</v>
      </c>
      <c r="M664">
        <v>626013</v>
      </c>
      <c r="N664">
        <v>53836.01</v>
      </c>
      <c r="O664" t="s">
        <v>23</v>
      </c>
    </row>
    <row r="665" spans="1:15" x14ac:dyDescent="0.25">
      <c r="A665" t="s">
        <v>735</v>
      </c>
      <c r="B665" s="1">
        <v>45774</v>
      </c>
      <c r="C665" t="s">
        <v>16</v>
      </c>
      <c r="D665" t="s">
        <v>44</v>
      </c>
      <c r="E665" t="s">
        <v>44</v>
      </c>
      <c r="F665" t="s">
        <v>93</v>
      </c>
      <c r="G665" t="s">
        <v>28</v>
      </c>
      <c r="H665" t="s">
        <v>77</v>
      </c>
      <c r="I665" t="s">
        <v>100</v>
      </c>
      <c r="J665">
        <v>3</v>
      </c>
      <c r="K665">
        <v>63409</v>
      </c>
      <c r="L665">
        <v>15</v>
      </c>
      <c r="M665">
        <v>161692.95000000001</v>
      </c>
      <c r="N665">
        <v>14368.59</v>
      </c>
      <c r="O665" t="s">
        <v>42</v>
      </c>
    </row>
    <row r="666" spans="1:15" x14ac:dyDescent="0.25">
      <c r="A666" t="s">
        <v>736</v>
      </c>
      <c r="B666" s="1">
        <v>45746</v>
      </c>
      <c r="C666" t="s">
        <v>36</v>
      </c>
      <c r="D666" t="s">
        <v>50</v>
      </c>
      <c r="E666" t="s">
        <v>51</v>
      </c>
      <c r="F666" t="s">
        <v>52</v>
      </c>
      <c r="G666" t="s">
        <v>28</v>
      </c>
      <c r="H666" t="s">
        <v>77</v>
      </c>
      <c r="I666" t="s">
        <v>100</v>
      </c>
      <c r="J666">
        <v>5</v>
      </c>
      <c r="K666">
        <v>2124</v>
      </c>
      <c r="L666">
        <v>15</v>
      </c>
      <c r="M666">
        <v>9027</v>
      </c>
      <c r="N666">
        <v>725.52</v>
      </c>
      <c r="O666" t="s">
        <v>31</v>
      </c>
    </row>
    <row r="667" spans="1:15" x14ac:dyDescent="0.25">
      <c r="A667" t="s">
        <v>737</v>
      </c>
      <c r="B667" s="1">
        <v>45750</v>
      </c>
      <c r="C667" t="s">
        <v>16</v>
      </c>
      <c r="D667" t="s">
        <v>17</v>
      </c>
      <c r="E667" t="s">
        <v>18</v>
      </c>
      <c r="F667" t="s">
        <v>52</v>
      </c>
      <c r="G667" t="s">
        <v>28</v>
      </c>
      <c r="H667" t="s">
        <v>29</v>
      </c>
      <c r="I667" t="s">
        <v>53</v>
      </c>
      <c r="J667">
        <v>5</v>
      </c>
      <c r="K667">
        <v>18544</v>
      </c>
      <c r="L667">
        <v>20</v>
      </c>
      <c r="M667">
        <v>74176</v>
      </c>
      <c r="N667">
        <v>16007.83</v>
      </c>
      <c r="O667" t="s">
        <v>23</v>
      </c>
    </row>
    <row r="668" spans="1:15" x14ac:dyDescent="0.25">
      <c r="A668" t="s">
        <v>738</v>
      </c>
      <c r="B668" s="1">
        <v>45732</v>
      </c>
      <c r="C668" t="s">
        <v>16</v>
      </c>
      <c r="D668" t="s">
        <v>17</v>
      </c>
      <c r="E668" t="s">
        <v>18</v>
      </c>
      <c r="F668" t="s">
        <v>93</v>
      </c>
      <c r="G668" t="s">
        <v>20</v>
      </c>
      <c r="H668" t="s">
        <v>21</v>
      </c>
      <c r="I668" t="s">
        <v>22</v>
      </c>
      <c r="J668">
        <v>9</v>
      </c>
      <c r="K668">
        <v>69649</v>
      </c>
      <c r="L668">
        <v>10</v>
      </c>
      <c r="M668">
        <v>564156.9</v>
      </c>
      <c r="N668">
        <v>73205.86</v>
      </c>
      <c r="O668" t="s">
        <v>31</v>
      </c>
    </row>
    <row r="669" spans="1:15" x14ac:dyDescent="0.25">
      <c r="A669" t="s">
        <v>739</v>
      </c>
      <c r="B669" s="1">
        <v>45810</v>
      </c>
      <c r="C669" t="s">
        <v>65</v>
      </c>
      <c r="D669" t="s">
        <v>66</v>
      </c>
      <c r="E669" t="s">
        <v>67</v>
      </c>
      <c r="F669" t="s">
        <v>72</v>
      </c>
      <c r="G669" t="s">
        <v>28</v>
      </c>
      <c r="H669" t="s">
        <v>77</v>
      </c>
      <c r="I669" t="s">
        <v>78</v>
      </c>
      <c r="J669">
        <v>1</v>
      </c>
      <c r="K669">
        <v>38009</v>
      </c>
      <c r="L669">
        <v>10</v>
      </c>
      <c r="M669">
        <v>34208.1</v>
      </c>
      <c r="N669">
        <v>5432.37</v>
      </c>
      <c r="O669" t="s">
        <v>23</v>
      </c>
    </row>
    <row r="670" spans="1:15" x14ac:dyDescent="0.25">
      <c r="A670" t="s">
        <v>740</v>
      </c>
      <c r="B670" s="1">
        <v>45738</v>
      </c>
      <c r="C670" t="s">
        <v>25</v>
      </c>
      <c r="D670" t="s">
        <v>26</v>
      </c>
      <c r="E670" t="s">
        <v>27</v>
      </c>
      <c r="F670" t="s">
        <v>52</v>
      </c>
      <c r="G670" t="s">
        <v>20</v>
      </c>
      <c r="H670" t="s">
        <v>77</v>
      </c>
      <c r="I670" t="s">
        <v>100</v>
      </c>
      <c r="J670">
        <v>4</v>
      </c>
      <c r="K670">
        <v>67859</v>
      </c>
      <c r="L670">
        <v>0</v>
      </c>
      <c r="M670">
        <v>271436</v>
      </c>
      <c r="N670">
        <v>57330.48</v>
      </c>
      <c r="O670" t="s">
        <v>42</v>
      </c>
    </row>
    <row r="671" spans="1:15" x14ac:dyDescent="0.25">
      <c r="A671" t="s">
        <v>741</v>
      </c>
      <c r="B671" s="1">
        <v>45682</v>
      </c>
      <c r="C671" t="s">
        <v>36</v>
      </c>
      <c r="D671" t="s">
        <v>85</v>
      </c>
      <c r="E671" t="s">
        <v>86</v>
      </c>
      <c r="F671" t="s">
        <v>63</v>
      </c>
      <c r="G671" t="s">
        <v>20</v>
      </c>
      <c r="H671" t="s">
        <v>77</v>
      </c>
      <c r="I671" t="s">
        <v>88</v>
      </c>
      <c r="J671">
        <v>2</v>
      </c>
      <c r="K671">
        <v>21555</v>
      </c>
      <c r="L671">
        <v>20</v>
      </c>
      <c r="M671">
        <v>34488</v>
      </c>
      <c r="N671">
        <v>4507.3500000000004</v>
      </c>
      <c r="O671" t="s">
        <v>23</v>
      </c>
    </row>
    <row r="672" spans="1:15" x14ac:dyDescent="0.25">
      <c r="A672" t="s">
        <v>742</v>
      </c>
      <c r="B672" s="1">
        <v>45664</v>
      </c>
      <c r="C672" t="s">
        <v>36</v>
      </c>
      <c r="D672" t="s">
        <v>50</v>
      </c>
      <c r="E672" t="s">
        <v>51</v>
      </c>
      <c r="F672" t="s">
        <v>63</v>
      </c>
      <c r="G672" t="s">
        <v>20</v>
      </c>
      <c r="H672" t="s">
        <v>77</v>
      </c>
      <c r="I672" t="s">
        <v>88</v>
      </c>
      <c r="J672">
        <v>5</v>
      </c>
      <c r="K672">
        <v>52368</v>
      </c>
      <c r="L672">
        <v>15</v>
      </c>
      <c r="M672">
        <v>222564</v>
      </c>
      <c r="N672">
        <v>21886.03</v>
      </c>
      <c r="O672" t="s">
        <v>34</v>
      </c>
    </row>
    <row r="673" spans="1:15" x14ac:dyDescent="0.25">
      <c r="A673" t="s">
        <v>743</v>
      </c>
      <c r="B673" s="1">
        <v>45927</v>
      </c>
      <c r="C673" t="s">
        <v>16</v>
      </c>
      <c r="D673" t="s">
        <v>106</v>
      </c>
      <c r="E673" t="s">
        <v>107</v>
      </c>
      <c r="F673" t="s">
        <v>19</v>
      </c>
      <c r="G673" t="s">
        <v>28</v>
      </c>
      <c r="H673" t="s">
        <v>29</v>
      </c>
      <c r="I673" t="s">
        <v>53</v>
      </c>
      <c r="J673">
        <v>3</v>
      </c>
      <c r="K673">
        <v>7046</v>
      </c>
      <c r="L673">
        <v>10</v>
      </c>
      <c r="M673">
        <v>19024.2</v>
      </c>
      <c r="N673">
        <v>4299.9399999999996</v>
      </c>
      <c r="O673" t="s">
        <v>34</v>
      </c>
    </row>
    <row r="674" spans="1:15" x14ac:dyDescent="0.25">
      <c r="A674" t="s">
        <v>744</v>
      </c>
      <c r="B674" s="1">
        <v>46002</v>
      </c>
      <c r="C674" t="s">
        <v>16</v>
      </c>
      <c r="D674" t="s">
        <v>106</v>
      </c>
      <c r="E674" t="s">
        <v>107</v>
      </c>
      <c r="F674" t="s">
        <v>19</v>
      </c>
      <c r="G674" t="s">
        <v>20</v>
      </c>
      <c r="H674" t="s">
        <v>68</v>
      </c>
      <c r="I674" t="s">
        <v>69</v>
      </c>
      <c r="J674">
        <v>6</v>
      </c>
      <c r="K674">
        <v>36325</v>
      </c>
      <c r="L674">
        <v>0</v>
      </c>
      <c r="M674">
        <v>217950</v>
      </c>
      <c r="N674">
        <v>44931.23</v>
      </c>
      <c r="O674" t="s">
        <v>34</v>
      </c>
    </row>
    <row r="675" spans="1:15" x14ac:dyDescent="0.25">
      <c r="A675" t="s">
        <v>745</v>
      </c>
      <c r="B675" s="1">
        <v>46003</v>
      </c>
      <c r="C675" t="s">
        <v>65</v>
      </c>
      <c r="D675" t="s">
        <v>66</v>
      </c>
      <c r="E675" t="s">
        <v>67</v>
      </c>
      <c r="F675" t="s">
        <v>52</v>
      </c>
      <c r="G675" t="s">
        <v>28</v>
      </c>
      <c r="H675" t="s">
        <v>29</v>
      </c>
      <c r="I675" t="s">
        <v>30</v>
      </c>
      <c r="J675">
        <v>5</v>
      </c>
      <c r="K675">
        <v>14170</v>
      </c>
      <c r="L675">
        <v>10</v>
      </c>
      <c r="M675">
        <v>63765</v>
      </c>
      <c r="N675">
        <v>13655.06</v>
      </c>
      <c r="O675" t="s">
        <v>42</v>
      </c>
    </row>
    <row r="676" spans="1:15" x14ac:dyDescent="0.25">
      <c r="A676" t="s">
        <v>746</v>
      </c>
      <c r="B676" s="1">
        <v>45971</v>
      </c>
      <c r="C676" t="s">
        <v>16</v>
      </c>
      <c r="D676" t="s">
        <v>17</v>
      </c>
      <c r="E676" t="s">
        <v>18</v>
      </c>
      <c r="F676" t="s">
        <v>39</v>
      </c>
      <c r="G676" t="s">
        <v>20</v>
      </c>
      <c r="H676" t="s">
        <v>68</v>
      </c>
      <c r="I676" t="s">
        <v>90</v>
      </c>
      <c r="J676">
        <v>8</v>
      </c>
      <c r="K676">
        <v>73256</v>
      </c>
      <c r="L676">
        <v>15</v>
      </c>
      <c r="M676">
        <v>498140.8</v>
      </c>
      <c r="N676">
        <v>67715.740000000005</v>
      </c>
      <c r="O676" t="s">
        <v>31</v>
      </c>
    </row>
    <row r="677" spans="1:15" x14ac:dyDescent="0.25">
      <c r="A677" t="s">
        <v>747</v>
      </c>
      <c r="B677" s="1">
        <v>45983</v>
      </c>
      <c r="C677" t="s">
        <v>65</v>
      </c>
      <c r="D677" t="s">
        <v>82</v>
      </c>
      <c r="E677" t="s">
        <v>83</v>
      </c>
      <c r="F677" t="s">
        <v>47</v>
      </c>
      <c r="G677" t="s">
        <v>20</v>
      </c>
      <c r="H677" t="s">
        <v>40</v>
      </c>
      <c r="I677" t="s">
        <v>59</v>
      </c>
      <c r="J677">
        <v>5</v>
      </c>
      <c r="K677">
        <v>47200</v>
      </c>
      <c r="L677">
        <v>15</v>
      </c>
      <c r="M677">
        <v>200600</v>
      </c>
      <c r="N677">
        <v>35924.54</v>
      </c>
      <c r="O677" t="s">
        <v>31</v>
      </c>
    </row>
    <row r="678" spans="1:15" x14ac:dyDescent="0.25">
      <c r="A678" t="s">
        <v>748</v>
      </c>
      <c r="B678" s="1">
        <v>45965</v>
      </c>
      <c r="C678" t="s">
        <v>36</v>
      </c>
      <c r="D678" t="s">
        <v>37</v>
      </c>
      <c r="E678" t="s">
        <v>38</v>
      </c>
      <c r="F678" t="s">
        <v>52</v>
      </c>
      <c r="G678" t="s">
        <v>28</v>
      </c>
      <c r="H678" t="s">
        <v>77</v>
      </c>
      <c r="I678" t="s">
        <v>100</v>
      </c>
      <c r="J678">
        <v>4</v>
      </c>
      <c r="K678">
        <v>55603</v>
      </c>
      <c r="L678">
        <v>0</v>
      </c>
      <c r="M678">
        <v>222412</v>
      </c>
      <c r="N678">
        <v>23200.03</v>
      </c>
      <c r="O678" t="s">
        <v>23</v>
      </c>
    </row>
    <row r="679" spans="1:15" x14ac:dyDescent="0.25">
      <c r="A679" t="s">
        <v>749</v>
      </c>
      <c r="B679" s="1">
        <v>46002</v>
      </c>
      <c r="C679" t="s">
        <v>25</v>
      </c>
      <c r="D679" t="s">
        <v>26</v>
      </c>
      <c r="E679" t="s">
        <v>27</v>
      </c>
      <c r="F679" t="s">
        <v>47</v>
      </c>
      <c r="G679" t="s">
        <v>28</v>
      </c>
      <c r="H679" t="s">
        <v>40</v>
      </c>
      <c r="I679" t="s">
        <v>80</v>
      </c>
      <c r="J679">
        <v>10</v>
      </c>
      <c r="K679">
        <v>38299</v>
      </c>
      <c r="L679">
        <v>20</v>
      </c>
      <c r="M679">
        <v>306392</v>
      </c>
      <c r="N679">
        <v>42680.99</v>
      </c>
      <c r="O679" t="s">
        <v>31</v>
      </c>
    </row>
    <row r="680" spans="1:15" x14ac:dyDescent="0.25">
      <c r="A680" t="s">
        <v>750</v>
      </c>
      <c r="B680" s="1">
        <v>45727</v>
      </c>
      <c r="C680" t="s">
        <v>16</v>
      </c>
      <c r="D680" t="s">
        <v>106</v>
      </c>
      <c r="E680" t="s">
        <v>107</v>
      </c>
      <c r="F680" t="s">
        <v>39</v>
      </c>
      <c r="G680" t="s">
        <v>28</v>
      </c>
      <c r="H680" t="s">
        <v>68</v>
      </c>
      <c r="I680" t="s">
        <v>69</v>
      </c>
      <c r="J680">
        <v>9</v>
      </c>
      <c r="K680">
        <v>56958</v>
      </c>
      <c r="L680">
        <v>5</v>
      </c>
      <c r="M680">
        <v>486990.9</v>
      </c>
      <c r="N680">
        <v>63643.31</v>
      </c>
      <c r="O680" t="s">
        <v>42</v>
      </c>
    </row>
    <row r="681" spans="1:15" x14ac:dyDescent="0.25">
      <c r="A681" t="s">
        <v>751</v>
      </c>
      <c r="B681" s="1">
        <v>45969</v>
      </c>
      <c r="C681" t="s">
        <v>16</v>
      </c>
      <c r="D681" t="s">
        <v>106</v>
      </c>
      <c r="E681" t="s">
        <v>107</v>
      </c>
      <c r="F681" t="s">
        <v>33</v>
      </c>
      <c r="G681" t="s">
        <v>28</v>
      </c>
      <c r="H681" t="s">
        <v>68</v>
      </c>
      <c r="I681" t="s">
        <v>94</v>
      </c>
      <c r="J681">
        <v>1</v>
      </c>
      <c r="K681">
        <v>45503</v>
      </c>
      <c r="L681">
        <v>15</v>
      </c>
      <c r="M681">
        <v>38677.550000000003</v>
      </c>
      <c r="N681">
        <v>6916.61</v>
      </c>
      <c r="O681" t="s">
        <v>34</v>
      </c>
    </row>
    <row r="682" spans="1:15" x14ac:dyDescent="0.25">
      <c r="A682" t="s">
        <v>752</v>
      </c>
      <c r="B682" s="1">
        <v>45803</v>
      </c>
      <c r="C682" t="s">
        <v>65</v>
      </c>
      <c r="D682" t="s">
        <v>66</v>
      </c>
      <c r="E682" t="s">
        <v>67</v>
      </c>
      <c r="F682" t="s">
        <v>72</v>
      </c>
      <c r="G682" t="s">
        <v>28</v>
      </c>
      <c r="H682" t="s">
        <v>21</v>
      </c>
      <c r="I682" t="s">
        <v>45</v>
      </c>
      <c r="J682">
        <v>10</v>
      </c>
      <c r="K682">
        <v>26196</v>
      </c>
      <c r="L682">
        <v>20</v>
      </c>
      <c r="M682">
        <v>209568</v>
      </c>
      <c r="N682">
        <v>44570.63</v>
      </c>
      <c r="O682" t="s">
        <v>34</v>
      </c>
    </row>
    <row r="683" spans="1:15" x14ac:dyDescent="0.25">
      <c r="A683" t="s">
        <v>753</v>
      </c>
      <c r="B683" s="1">
        <v>45891</v>
      </c>
      <c r="C683" t="s">
        <v>65</v>
      </c>
      <c r="D683" t="s">
        <v>66</v>
      </c>
      <c r="E683" t="s">
        <v>67</v>
      </c>
      <c r="F683" t="s">
        <v>52</v>
      </c>
      <c r="G683" t="s">
        <v>28</v>
      </c>
      <c r="H683" t="s">
        <v>21</v>
      </c>
      <c r="I683" t="s">
        <v>22</v>
      </c>
      <c r="J683">
        <v>10</v>
      </c>
      <c r="K683">
        <v>25180</v>
      </c>
      <c r="L683">
        <v>15</v>
      </c>
      <c r="M683">
        <v>214030</v>
      </c>
      <c r="N683">
        <v>49450.48</v>
      </c>
      <c r="O683" t="s">
        <v>23</v>
      </c>
    </row>
    <row r="684" spans="1:15" x14ac:dyDescent="0.25">
      <c r="A684" t="s">
        <v>754</v>
      </c>
      <c r="B684" s="1">
        <v>45919</v>
      </c>
      <c r="C684" t="s">
        <v>65</v>
      </c>
      <c r="D684" t="s">
        <v>66</v>
      </c>
      <c r="E684" t="s">
        <v>67</v>
      </c>
      <c r="F684" t="s">
        <v>39</v>
      </c>
      <c r="G684" t="s">
        <v>20</v>
      </c>
      <c r="H684" t="s">
        <v>77</v>
      </c>
      <c r="I684" t="s">
        <v>78</v>
      </c>
      <c r="J684">
        <v>10</v>
      </c>
      <c r="K684">
        <v>5058</v>
      </c>
      <c r="L684">
        <v>5</v>
      </c>
      <c r="M684">
        <v>48051</v>
      </c>
      <c r="N684">
        <v>9780.81</v>
      </c>
      <c r="O684" t="s">
        <v>31</v>
      </c>
    </row>
    <row r="685" spans="1:15" x14ac:dyDescent="0.25">
      <c r="A685" t="s">
        <v>755</v>
      </c>
      <c r="B685" s="1">
        <v>45734</v>
      </c>
      <c r="C685" t="s">
        <v>65</v>
      </c>
      <c r="D685" t="s">
        <v>82</v>
      </c>
      <c r="E685" t="s">
        <v>83</v>
      </c>
      <c r="F685" t="s">
        <v>93</v>
      </c>
      <c r="G685" t="s">
        <v>28</v>
      </c>
      <c r="H685" t="s">
        <v>29</v>
      </c>
      <c r="I685" t="s">
        <v>53</v>
      </c>
      <c r="J685">
        <v>3</v>
      </c>
      <c r="K685">
        <v>78564</v>
      </c>
      <c r="L685">
        <v>10</v>
      </c>
      <c r="M685">
        <v>212122.8</v>
      </c>
      <c r="N685">
        <v>38433.82</v>
      </c>
      <c r="O685" t="s">
        <v>42</v>
      </c>
    </row>
    <row r="686" spans="1:15" x14ac:dyDescent="0.25">
      <c r="A686" t="s">
        <v>756</v>
      </c>
      <c r="B686" s="1">
        <v>45800</v>
      </c>
      <c r="C686" t="s">
        <v>36</v>
      </c>
      <c r="D686" t="s">
        <v>85</v>
      </c>
      <c r="E686" t="s">
        <v>86</v>
      </c>
      <c r="F686" t="s">
        <v>72</v>
      </c>
      <c r="G686" t="s">
        <v>28</v>
      </c>
      <c r="H686" t="s">
        <v>21</v>
      </c>
      <c r="I686" t="s">
        <v>22</v>
      </c>
      <c r="J686">
        <v>8</v>
      </c>
      <c r="K686">
        <v>25131</v>
      </c>
      <c r="L686">
        <v>15</v>
      </c>
      <c r="M686">
        <v>170890.8</v>
      </c>
      <c r="N686">
        <v>33935.39</v>
      </c>
      <c r="O686" t="s">
        <v>31</v>
      </c>
    </row>
    <row r="687" spans="1:15" x14ac:dyDescent="0.25">
      <c r="A687" t="s">
        <v>757</v>
      </c>
      <c r="B687" s="1">
        <v>45920</v>
      </c>
      <c r="C687" t="s">
        <v>36</v>
      </c>
      <c r="D687" t="s">
        <v>37</v>
      </c>
      <c r="E687" t="s">
        <v>38</v>
      </c>
      <c r="F687" t="s">
        <v>72</v>
      </c>
      <c r="G687" t="s">
        <v>20</v>
      </c>
      <c r="H687" t="s">
        <v>29</v>
      </c>
      <c r="I687" t="s">
        <v>53</v>
      </c>
      <c r="J687">
        <v>1</v>
      </c>
      <c r="K687">
        <v>39336</v>
      </c>
      <c r="L687">
        <v>20</v>
      </c>
      <c r="M687">
        <v>31468.799999999999</v>
      </c>
      <c r="N687">
        <v>5887.59</v>
      </c>
      <c r="O687" t="s">
        <v>31</v>
      </c>
    </row>
    <row r="688" spans="1:15" x14ac:dyDescent="0.25">
      <c r="A688" t="s">
        <v>758</v>
      </c>
      <c r="B688" s="1">
        <v>46008</v>
      </c>
      <c r="C688" t="s">
        <v>16</v>
      </c>
      <c r="D688" t="s">
        <v>44</v>
      </c>
      <c r="E688" t="s">
        <v>44</v>
      </c>
      <c r="F688" t="s">
        <v>47</v>
      </c>
      <c r="G688" t="s">
        <v>20</v>
      </c>
      <c r="H688" t="s">
        <v>40</v>
      </c>
      <c r="I688" t="s">
        <v>41</v>
      </c>
      <c r="J688">
        <v>4</v>
      </c>
      <c r="K688">
        <v>60213</v>
      </c>
      <c r="L688">
        <v>5</v>
      </c>
      <c r="M688">
        <v>228809.4</v>
      </c>
      <c r="N688">
        <v>33976.35</v>
      </c>
      <c r="O688" t="s">
        <v>42</v>
      </c>
    </row>
    <row r="689" spans="1:15" x14ac:dyDescent="0.25">
      <c r="A689" t="s">
        <v>759</v>
      </c>
      <c r="B689" s="1">
        <v>45961</v>
      </c>
      <c r="C689" t="s">
        <v>36</v>
      </c>
      <c r="D689" t="s">
        <v>50</v>
      </c>
      <c r="E689" t="s">
        <v>51</v>
      </c>
      <c r="F689" t="s">
        <v>52</v>
      </c>
      <c r="G689" t="s">
        <v>20</v>
      </c>
      <c r="H689" t="s">
        <v>29</v>
      </c>
      <c r="I689" t="s">
        <v>30</v>
      </c>
      <c r="J689">
        <v>1</v>
      </c>
      <c r="K689">
        <v>28212</v>
      </c>
      <c r="L689">
        <v>15</v>
      </c>
      <c r="M689">
        <v>23980.2</v>
      </c>
      <c r="N689">
        <v>2106.9499999999998</v>
      </c>
      <c r="O689" t="s">
        <v>23</v>
      </c>
    </row>
    <row r="690" spans="1:15" x14ac:dyDescent="0.25">
      <c r="A690" t="s">
        <v>760</v>
      </c>
      <c r="B690" s="1">
        <v>45951</v>
      </c>
      <c r="C690" t="s">
        <v>36</v>
      </c>
      <c r="D690" t="s">
        <v>50</v>
      </c>
      <c r="E690" t="s">
        <v>51</v>
      </c>
      <c r="F690" t="s">
        <v>47</v>
      </c>
      <c r="G690" t="s">
        <v>20</v>
      </c>
      <c r="H690" t="s">
        <v>40</v>
      </c>
      <c r="I690" t="s">
        <v>41</v>
      </c>
      <c r="J690">
        <v>10</v>
      </c>
      <c r="K690">
        <v>72249</v>
      </c>
      <c r="L690">
        <v>10</v>
      </c>
      <c r="M690">
        <v>650241</v>
      </c>
      <c r="N690">
        <v>128588.29</v>
      </c>
      <c r="O690" t="s">
        <v>31</v>
      </c>
    </row>
    <row r="691" spans="1:15" x14ac:dyDescent="0.25">
      <c r="A691" t="s">
        <v>761</v>
      </c>
      <c r="B691" s="1">
        <v>45814</v>
      </c>
      <c r="C691" t="s">
        <v>36</v>
      </c>
      <c r="D691" t="s">
        <v>37</v>
      </c>
      <c r="E691" t="s">
        <v>38</v>
      </c>
      <c r="F691" t="s">
        <v>19</v>
      </c>
      <c r="G691" t="s">
        <v>28</v>
      </c>
      <c r="H691" t="s">
        <v>21</v>
      </c>
      <c r="I691" t="s">
        <v>56</v>
      </c>
      <c r="J691">
        <v>4</v>
      </c>
      <c r="K691">
        <v>18181</v>
      </c>
      <c r="L691">
        <v>5</v>
      </c>
      <c r="M691">
        <v>69087.8</v>
      </c>
      <c r="N691">
        <v>6980.95</v>
      </c>
      <c r="O691" t="s">
        <v>42</v>
      </c>
    </row>
    <row r="692" spans="1:15" x14ac:dyDescent="0.25">
      <c r="A692" t="s">
        <v>762</v>
      </c>
      <c r="B692" s="1">
        <v>45750</v>
      </c>
      <c r="C692" t="s">
        <v>65</v>
      </c>
      <c r="D692" t="s">
        <v>82</v>
      </c>
      <c r="E692" t="s">
        <v>83</v>
      </c>
      <c r="F692" t="s">
        <v>33</v>
      </c>
      <c r="G692" t="s">
        <v>20</v>
      </c>
      <c r="H692" t="s">
        <v>77</v>
      </c>
      <c r="I692" t="s">
        <v>88</v>
      </c>
      <c r="J692">
        <v>7</v>
      </c>
      <c r="K692">
        <v>32386</v>
      </c>
      <c r="L692">
        <v>0</v>
      </c>
      <c r="M692">
        <v>226702</v>
      </c>
      <c r="N692">
        <v>44870.41</v>
      </c>
      <c r="O692" t="s">
        <v>31</v>
      </c>
    </row>
    <row r="693" spans="1:15" x14ac:dyDescent="0.25">
      <c r="A693" t="s">
        <v>763</v>
      </c>
      <c r="B693" s="1">
        <v>45993</v>
      </c>
      <c r="C693" t="s">
        <v>36</v>
      </c>
      <c r="D693" t="s">
        <v>37</v>
      </c>
      <c r="E693" t="s">
        <v>38</v>
      </c>
      <c r="F693" t="s">
        <v>52</v>
      </c>
      <c r="G693" t="s">
        <v>20</v>
      </c>
      <c r="H693" t="s">
        <v>40</v>
      </c>
      <c r="I693" t="s">
        <v>80</v>
      </c>
      <c r="J693">
        <v>6</v>
      </c>
      <c r="K693">
        <v>24450</v>
      </c>
      <c r="L693">
        <v>0</v>
      </c>
      <c r="M693">
        <v>146700</v>
      </c>
      <c r="N693">
        <v>31913.9</v>
      </c>
      <c r="O693" t="s">
        <v>34</v>
      </c>
    </row>
    <row r="694" spans="1:15" x14ac:dyDescent="0.25">
      <c r="A694" t="s">
        <v>764</v>
      </c>
      <c r="B694" s="1">
        <v>45870</v>
      </c>
      <c r="C694" t="s">
        <v>25</v>
      </c>
      <c r="D694" t="s">
        <v>61</v>
      </c>
      <c r="E694" t="s">
        <v>62</v>
      </c>
      <c r="F694" t="s">
        <v>52</v>
      </c>
      <c r="G694" t="s">
        <v>28</v>
      </c>
      <c r="H694" t="s">
        <v>21</v>
      </c>
      <c r="I694" t="s">
        <v>22</v>
      </c>
      <c r="J694">
        <v>8</v>
      </c>
      <c r="K694">
        <v>29651</v>
      </c>
      <c r="L694">
        <v>5</v>
      </c>
      <c r="M694">
        <v>225347.6</v>
      </c>
      <c r="N694">
        <v>49928.18</v>
      </c>
      <c r="O694" t="s">
        <v>23</v>
      </c>
    </row>
    <row r="695" spans="1:15" x14ac:dyDescent="0.25">
      <c r="A695" t="s">
        <v>765</v>
      </c>
      <c r="B695" s="1">
        <v>45874</v>
      </c>
      <c r="C695" t="s">
        <v>36</v>
      </c>
      <c r="D695" t="s">
        <v>85</v>
      </c>
      <c r="E695" t="s">
        <v>86</v>
      </c>
      <c r="F695" t="s">
        <v>47</v>
      </c>
      <c r="G695" t="s">
        <v>28</v>
      </c>
      <c r="H695" t="s">
        <v>40</v>
      </c>
      <c r="I695" t="s">
        <v>80</v>
      </c>
      <c r="J695">
        <v>1</v>
      </c>
      <c r="K695">
        <v>48347</v>
      </c>
      <c r="L695">
        <v>0</v>
      </c>
      <c r="M695">
        <v>48347</v>
      </c>
      <c r="N695">
        <v>9650.51</v>
      </c>
      <c r="O695" t="s">
        <v>31</v>
      </c>
    </row>
    <row r="696" spans="1:15" x14ac:dyDescent="0.25">
      <c r="A696" t="s">
        <v>766</v>
      </c>
      <c r="B696" s="1">
        <v>45845</v>
      </c>
      <c r="C696" t="s">
        <v>16</v>
      </c>
      <c r="D696" t="s">
        <v>44</v>
      </c>
      <c r="E696" t="s">
        <v>44</v>
      </c>
      <c r="F696" t="s">
        <v>72</v>
      </c>
      <c r="G696" t="s">
        <v>20</v>
      </c>
      <c r="H696" t="s">
        <v>77</v>
      </c>
      <c r="I696" t="s">
        <v>78</v>
      </c>
      <c r="J696">
        <v>1</v>
      </c>
      <c r="K696">
        <v>70122</v>
      </c>
      <c r="L696">
        <v>5</v>
      </c>
      <c r="M696">
        <v>66615.899999999994</v>
      </c>
      <c r="N696">
        <v>7329.88</v>
      </c>
      <c r="O696" t="s">
        <v>42</v>
      </c>
    </row>
    <row r="697" spans="1:15" x14ac:dyDescent="0.25">
      <c r="A697" t="s">
        <v>767</v>
      </c>
      <c r="B697" s="1">
        <v>45954</v>
      </c>
      <c r="C697" t="s">
        <v>36</v>
      </c>
      <c r="D697" t="s">
        <v>85</v>
      </c>
      <c r="E697" t="s">
        <v>86</v>
      </c>
      <c r="F697" t="s">
        <v>47</v>
      </c>
      <c r="G697" t="s">
        <v>20</v>
      </c>
      <c r="H697" t="s">
        <v>40</v>
      </c>
      <c r="I697" t="s">
        <v>80</v>
      </c>
      <c r="J697">
        <v>5</v>
      </c>
      <c r="K697">
        <v>13440</v>
      </c>
      <c r="L697">
        <v>20</v>
      </c>
      <c r="M697">
        <v>53760</v>
      </c>
      <c r="N697">
        <v>12712.77</v>
      </c>
      <c r="O697" t="s">
        <v>23</v>
      </c>
    </row>
    <row r="698" spans="1:15" x14ac:dyDescent="0.25">
      <c r="A698" t="s">
        <v>768</v>
      </c>
      <c r="B698" s="1">
        <v>45689</v>
      </c>
      <c r="C698" t="s">
        <v>16</v>
      </c>
      <c r="D698" t="s">
        <v>106</v>
      </c>
      <c r="E698" t="s">
        <v>107</v>
      </c>
      <c r="F698" t="s">
        <v>19</v>
      </c>
      <c r="G698" t="s">
        <v>28</v>
      </c>
      <c r="H698" t="s">
        <v>29</v>
      </c>
      <c r="I698" t="s">
        <v>48</v>
      </c>
      <c r="J698">
        <v>6</v>
      </c>
      <c r="K698">
        <v>55556</v>
      </c>
      <c r="L698">
        <v>20</v>
      </c>
      <c r="M698">
        <v>266668.79999999999</v>
      </c>
      <c r="N698">
        <v>23958.240000000002</v>
      </c>
      <c r="O698" t="s">
        <v>42</v>
      </c>
    </row>
    <row r="699" spans="1:15" x14ac:dyDescent="0.25">
      <c r="A699" t="s">
        <v>769</v>
      </c>
      <c r="B699" s="1">
        <v>45867</v>
      </c>
      <c r="C699" t="s">
        <v>16</v>
      </c>
      <c r="D699" t="s">
        <v>44</v>
      </c>
      <c r="E699" t="s">
        <v>44</v>
      </c>
      <c r="F699" t="s">
        <v>19</v>
      </c>
      <c r="G699" t="s">
        <v>28</v>
      </c>
      <c r="H699" t="s">
        <v>68</v>
      </c>
      <c r="I699" t="s">
        <v>94</v>
      </c>
      <c r="J699">
        <v>10</v>
      </c>
      <c r="K699">
        <v>67924</v>
      </c>
      <c r="L699">
        <v>10</v>
      </c>
      <c r="M699">
        <v>611316</v>
      </c>
      <c r="N699">
        <v>103275.32</v>
      </c>
      <c r="O699" t="s">
        <v>23</v>
      </c>
    </row>
    <row r="700" spans="1:15" x14ac:dyDescent="0.25">
      <c r="A700" t="s">
        <v>770</v>
      </c>
      <c r="B700" s="1">
        <v>45805</v>
      </c>
      <c r="C700" t="s">
        <v>25</v>
      </c>
      <c r="D700" t="s">
        <v>26</v>
      </c>
      <c r="E700" t="s">
        <v>27</v>
      </c>
      <c r="F700" t="s">
        <v>39</v>
      </c>
      <c r="G700" t="s">
        <v>28</v>
      </c>
      <c r="H700" t="s">
        <v>77</v>
      </c>
      <c r="I700" t="s">
        <v>88</v>
      </c>
      <c r="J700">
        <v>3</v>
      </c>
      <c r="K700">
        <v>65879</v>
      </c>
      <c r="L700">
        <v>0</v>
      </c>
      <c r="M700">
        <v>197637</v>
      </c>
      <c r="N700">
        <v>45547.42</v>
      </c>
      <c r="O700" t="s">
        <v>34</v>
      </c>
    </row>
    <row r="701" spans="1:15" x14ac:dyDescent="0.25">
      <c r="A701" t="s">
        <v>771</v>
      </c>
      <c r="B701" s="1">
        <v>45985</v>
      </c>
      <c r="C701" t="s">
        <v>65</v>
      </c>
      <c r="D701" t="s">
        <v>82</v>
      </c>
      <c r="E701" t="s">
        <v>83</v>
      </c>
      <c r="F701" t="s">
        <v>33</v>
      </c>
      <c r="G701" t="s">
        <v>20</v>
      </c>
      <c r="H701" t="s">
        <v>40</v>
      </c>
      <c r="I701" t="s">
        <v>80</v>
      </c>
      <c r="J701">
        <v>1</v>
      </c>
      <c r="K701">
        <v>22023</v>
      </c>
      <c r="L701">
        <v>15</v>
      </c>
      <c r="M701">
        <v>18719.55</v>
      </c>
      <c r="N701">
        <v>2127.38</v>
      </c>
      <c r="O701" t="s">
        <v>31</v>
      </c>
    </row>
    <row r="702" spans="1:15" x14ac:dyDescent="0.25">
      <c r="A702" t="s">
        <v>772</v>
      </c>
      <c r="B702" s="1">
        <v>45750</v>
      </c>
      <c r="C702" t="s">
        <v>25</v>
      </c>
      <c r="D702" t="s">
        <v>61</v>
      </c>
      <c r="E702" t="s">
        <v>62</v>
      </c>
      <c r="F702" t="s">
        <v>33</v>
      </c>
      <c r="G702" t="s">
        <v>28</v>
      </c>
      <c r="H702" t="s">
        <v>68</v>
      </c>
      <c r="I702" t="s">
        <v>69</v>
      </c>
      <c r="J702">
        <v>8</v>
      </c>
      <c r="K702">
        <v>5611</v>
      </c>
      <c r="L702">
        <v>15</v>
      </c>
      <c r="M702">
        <v>38154.800000000003</v>
      </c>
      <c r="N702">
        <v>6153.03</v>
      </c>
      <c r="O702" t="s">
        <v>23</v>
      </c>
    </row>
    <row r="703" spans="1:15" x14ac:dyDescent="0.25">
      <c r="A703" t="s">
        <v>773</v>
      </c>
      <c r="B703" s="1">
        <v>45789</v>
      </c>
      <c r="C703" t="s">
        <v>25</v>
      </c>
      <c r="D703" t="s">
        <v>26</v>
      </c>
      <c r="E703" t="s">
        <v>27</v>
      </c>
      <c r="F703" t="s">
        <v>93</v>
      </c>
      <c r="G703" t="s">
        <v>20</v>
      </c>
      <c r="H703" t="s">
        <v>77</v>
      </c>
      <c r="I703" t="s">
        <v>78</v>
      </c>
      <c r="J703">
        <v>6</v>
      </c>
      <c r="K703">
        <v>20049</v>
      </c>
      <c r="L703">
        <v>20</v>
      </c>
      <c r="M703">
        <v>96235.199999999997</v>
      </c>
      <c r="N703">
        <v>23988.25</v>
      </c>
      <c r="O703" t="s">
        <v>31</v>
      </c>
    </row>
    <row r="704" spans="1:15" x14ac:dyDescent="0.25">
      <c r="A704" t="s">
        <v>774</v>
      </c>
      <c r="B704" s="1">
        <v>45746</v>
      </c>
      <c r="C704" t="s">
        <v>25</v>
      </c>
      <c r="D704" t="s">
        <v>61</v>
      </c>
      <c r="E704" t="s">
        <v>62</v>
      </c>
      <c r="F704" t="s">
        <v>93</v>
      </c>
      <c r="G704" t="s">
        <v>28</v>
      </c>
      <c r="H704" t="s">
        <v>77</v>
      </c>
      <c r="I704" t="s">
        <v>88</v>
      </c>
      <c r="J704">
        <v>9</v>
      </c>
      <c r="K704">
        <v>62468</v>
      </c>
      <c r="L704">
        <v>5</v>
      </c>
      <c r="M704">
        <v>534101.4</v>
      </c>
      <c r="N704">
        <v>128493.65</v>
      </c>
      <c r="O704" t="s">
        <v>42</v>
      </c>
    </row>
    <row r="705" spans="1:15" x14ac:dyDescent="0.25">
      <c r="A705" t="s">
        <v>775</v>
      </c>
      <c r="B705" s="1">
        <v>45727</v>
      </c>
      <c r="C705" t="s">
        <v>16</v>
      </c>
      <c r="D705" t="s">
        <v>106</v>
      </c>
      <c r="E705" t="s">
        <v>107</v>
      </c>
      <c r="F705" t="s">
        <v>47</v>
      </c>
      <c r="G705" t="s">
        <v>20</v>
      </c>
      <c r="H705" t="s">
        <v>77</v>
      </c>
      <c r="I705" t="s">
        <v>88</v>
      </c>
      <c r="J705">
        <v>1</v>
      </c>
      <c r="K705">
        <v>63490</v>
      </c>
      <c r="L705">
        <v>10</v>
      </c>
      <c r="M705">
        <v>57141</v>
      </c>
      <c r="N705">
        <v>7192.05</v>
      </c>
      <c r="O705" t="s">
        <v>31</v>
      </c>
    </row>
    <row r="706" spans="1:15" x14ac:dyDescent="0.25">
      <c r="A706" t="s">
        <v>776</v>
      </c>
      <c r="B706" s="1">
        <v>46019</v>
      </c>
      <c r="C706" t="s">
        <v>16</v>
      </c>
      <c r="D706" t="s">
        <v>44</v>
      </c>
      <c r="E706" t="s">
        <v>44</v>
      </c>
      <c r="F706" t="s">
        <v>72</v>
      </c>
      <c r="G706" t="s">
        <v>20</v>
      </c>
      <c r="H706" t="s">
        <v>40</v>
      </c>
      <c r="I706" t="s">
        <v>80</v>
      </c>
      <c r="J706">
        <v>2</v>
      </c>
      <c r="K706">
        <v>44334</v>
      </c>
      <c r="L706">
        <v>20</v>
      </c>
      <c r="M706">
        <v>70934.399999999994</v>
      </c>
      <c r="N706">
        <v>14113.37</v>
      </c>
      <c r="O706" t="s">
        <v>31</v>
      </c>
    </row>
    <row r="707" spans="1:15" x14ac:dyDescent="0.25">
      <c r="A707" t="s">
        <v>777</v>
      </c>
      <c r="B707" s="1">
        <v>45900</v>
      </c>
      <c r="C707" t="s">
        <v>65</v>
      </c>
      <c r="D707" t="s">
        <v>66</v>
      </c>
      <c r="E707" t="s">
        <v>67</v>
      </c>
      <c r="F707" t="s">
        <v>52</v>
      </c>
      <c r="G707" t="s">
        <v>20</v>
      </c>
      <c r="H707" t="s">
        <v>21</v>
      </c>
      <c r="I707" t="s">
        <v>45</v>
      </c>
      <c r="J707">
        <v>5</v>
      </c>
      <c r="K707">
        <v>24681</v>
      </c>
      <c r="L707">
        <v>15</v>
      </c>
      <c r="M707">
        <v>104894.25</v>
      </c>
      <c r="N707">
        <v>23551.24</v>
      </c>
      <c r="O707" t="s">
        <v>31</v>
      </c>
    </row>
    <row r="708" spans="1:15" x14ac:dyDescent="0.25">
      <c r="A708" t="s">
        <v>778</v>
      </c>
      <c r="B708" s="1">
        <v>45722</v>
      </c>
      <c r="C708" t="s">
        <v>25</v>
      </c>
      <c r="D708" t="s">
        <v>26</v>
      </c>
      <c r="E708" t="s">
        <v>27</v>
      </c>
      <c r="F708" t="s">
        <v>93</v>
      </c>
      <c r="G708" t="s">
        <v>28</v>
      </c>
      <c r="H708" t="s">
        <v>29</v>
      </c>
      <c r="I708" t="s">
        <v>30</v>
      </c>
      <c r="J708">
        <v>5</v>
      </c>
      <c r="K708">
        <v>44674</v>
      </c>
      <c r="L708">
        <v>15</v>
      </c>
      <c r="M708">
        <v>189864.5</v>
      </c>
      <c r="N708">
        <v>31944.99</v>
      </c>
      <c r="O708" t="s">
        <v>42</v>
      </c>
    </row>
    <row r="709" spans="1:15" x14ac:dyDescent="0.25">
      <c r="A709" t="s">
        <v>779</v>
      </c>
      <c r="B709" s="1">
        <v>45685</v>
      </c>
      <c r="C709" t="s">
        <v>25</v>
      </c>
      <c r="D709" t="s">
        <v>26</v>
      </c>
      <c r="E709" t="s">
        <v>27</v>
      </c>
      <c r="F709" t="s">
        <v>72</v>
      </c>
      <c r="G709" t="s">
        <v>20</v>
      </c>
      <c r="H709" t="s">
        <v>68</v>
      </c>
      <c r="I709" t="s">
        <v>94</v>
      </c>
      <c r="J709">
        <v>3</v>
      </c>
      <c r="K709">
        <v>58298</v>
      </c>
      <c r="L709">
        <v>0</v>
      </c>
      <c r="M709">
        <v>174894</v>
      </c>
      <c r="N709">
        <v>29595.66</v>
      </c>
      <c r="O709" t="s">
        <v>34</v>
      </c>
    </row>
    <row r="710" spans="1:15" x14ac:dyDescent="0.25">
      <c r="A710" t="s">
        <v>780</v>
      </c>
      <c r="B710" s="1">
        <v>45992</v>
      </c>
      <c r="C710" t="s">
        <v>16</v>
      </c>
      <c r="D710" t="s">
        <v>44</v>
      </c>
      <c r="E710" t="s">
        <v>44</v>
      </c>
      <c r="F710" t="s">
        <v>19</v>
      </c>
      <c r="G710" t="s">
        <v>28</v>
      </c>
      <c r="H710" t="s">
        <v>40</v>
      </c>
      <c r="I710" t="s">
        <v>41</v>
      </c>
      <c r="J710">
        <v>2</v>
      </c>
      <c r="K710">
        <v>41245</v>
      </c>
      <c r="L710">
        <v>15</v>
      </c>
      <c r="M710">
        <v>70116.5</v>
      </c>
      <c r="N710">
        <v>6517.73</v>
      </c>
      <c r="O710" t="s">
        <v>31</v>
      </c>
    </row>
    <row r="711" spans="1:15" x14ac:dyDescent="0.25">
      <c r="A711" t="s">
        <v>781</v>
      </c>
      <c r="B711" s="1">
        <v>45967</v>
      </c>
      <c r="C711" t="s">
        <v>16</v>
      </c>
      <c r="D711" t="s">
        <v>17</v>
      </c>
      <c r="E711" t="s">
        <v>18</v>
      </c>
      <c r="F711" t="s">
        <v>52</v>
      </c>
      <c r="G711" t="s">
        <v>20</v>
      </c>
      <c r="H711" t="s">
        <v>29</v>
      </c>
      <c r="I711" t="s">
        <v>48</v>
      </c>
      <c r="J711">
        <v>2</v>
      </c>
      <c r="K711">
        <v>57221</v>
      </c>
      <c r="L711">
        <v>10</v>
      </c>
      <c r="M711">
        <v>102997.8</v>
      </c>
      <c r="N711">
        <v>18399.310000000001</v>
      </c>
      <c r="O711" t="s">
        <v>34</v>
      </c>
    </row>
    <row r="712" spans="1:15" x14ac:dyDescent="0.25">
      <c r="A712" t="s">
        <v>782</v>
      </c>
      <c r="B712" s="1">
        <v>45971</v>
      </c>
      <c r="C712" t="s">
        <v>25</v>
      </c>
      <c r="D712" t="s">
        <v>26</v>
      </c>
      <c r="E712" t="s">
        <v>27</v>
      </c>
      <c r="F712" t="s">
        <v>39</v>
      </c>
      <c r="G712" t="s">
        <v>28</v>
      </c>
      <c r="H712" t="s">
        <v>68</v>
      </c>
      <c r="I712" t="s">
        <v>94</v>
      </c>
      <c r="J712">
        <v>10</v>
      </c>
      <c r="K712">
        <v>36150</v>
      </c>
      <c r="L712">
        <v>0</v>
      </c>
      <c r="M712">
        <v>361500</v>
      </c>
      <c r="N712">
        <v>82498.039999999994</v>
      </c>
      <c r="O712" t="s">
        <v>34</v>
      </c>
    </row>
    <row r="713" spans="1:15" x14ac:dyDescent="0.25">
      <c r="A713" t="s">
        <v>783</v>
      </c>
      <c r="B713" s="1">
        <v>45951</v>
      </c>
      <c r="C713" t="s">
        <v>16</v>
      </c>
      <c r="D713" t="s">
        <v>17</v>
      </c>
      <c r="E713" t="s">
        <v>18</v>
      </c>
      <c r="F713" t="s">
        <v>39</v>
      </c>
      <c r="G713" t="s">
        <v>20</v>
      </c>
      <c r="H713" t="s">
        <v>40</v>
      </c>
      <c r="I713" t="s">
        <v>80</v>
      </c>
      <c r="J713">
        <v>3</v>
      </c>
      <c r="K713">
        <v>75657</v>
      </c>
      <c r="L713">
        <v>10</v>
      </c>
      <c r="M713">
        <v>204273.9</v>
      </c>
      <c r="N713">
        <v>20133.34</v>
      </c>
      <c r="O713" t="s">
        <v>23</v>
      </c>
    </row>
    <row r="714" spans="1:15" x14ac:dyDescent="0.25">
      <c r="A714" t="s">
        <v>784</v>
      </c>
      <c r="B714" s="1">
        <v>45707</v>
      </c>
      <c r="C714" t="s">
        <v>16</v>
      </c>
      <c r="D714" t="s">
        <v>17</v>
      </c>
      <c r="E714" t="s">
        <v>18</v>
      </c>
      <c r="F714" t="s">
        <v>63</v>
      </c>
      <c r="G714" t="s">
        <v>20</v>
      </c>
      <c r="H714" t="s">
        <v>40</v>
      </c>
      <c r="I714" t="s">
        <v>59</v>
      </c>
      <c r="J714">
        <v>4</v>
      </c>
      <c r="K714">
        <v>62222</v>
      </c>
      <c r="L714">
        <v>5</v>
      </c>
      <c r="M714">
        <v>236443.6</v>
      </c>
      <c r="N714">
        <v>34382.79</v>
      </c>
      <c r="O714" t="s">
        <v>34</v>
      </c>
    </row>
    <row r="715" spans="1:15" x14ac:dyDescent="0.25">
      <c r="A715" t="s">
        <v>785</v>
      </c>
      <c r="B715" s="1">
        <v>46019</v>
      </c>
      <c r="C715" t="s">
        <v>16</v>
      </c>
      <c r="D715" t="s">
        <v>44</v>
      </c>
      <c r="E715" t="s">
        <v>44</v>
      </c>
      <c r="F715" t="s">
        <v>39</v>
      </c>
      <c r="G715" t="s">
        <v>28</v>
      </c>
      <c r="H715" t="s">
        <v>68</v>
      </c>
      <c r="I715" t="s">
        <v>69</v>
      </c>
      <c r="J715">
        <v>5</v>
      </c>
      <c r="K715">
        <v>46049</v>
      </c>
      <c r="L715">
        <v>10</v>
      </c>
      <c r="M715">
        <v>207220.5</v>
      </c>
      <c r="N715">
        <v>41083.14</v>
      </c>
      <c r="O715" t="s">
        <v>42</v>
      </c>
    </row>
    <row r="716" spans="1:15" x14ac:dyDescent="0.25">
      <c r="A716" t="s">
        <v>786</v>
      </c>
      <c r="B716" s="1">
        <v>45845</v>
      </c>
      <c r="C716" t="s">
        <v>65</v>
      </c>
      <c r="D716" t="s">
        <v>66</v>
      </c>
      <c r="E716" t="s">
        <v>67</v>
      </c>
      <c r="F716" t="s">
        <v>72</v>
      </c>
      <c r="G716" t="s">
        <v>20</v>
      </c>
      <c r="H716" t="s">
        <v>77</v>
      </c>
      <c r="I716" t="s">
        <v>88</v>
      </c>
      <c r="J716">
        <v>8</v>
      </c>
      <c r="K716">
        <v>61435</v>
      </c>
      <c r="L716">
        <v>15</v>
      </c>
      <c r="M716">
        <v>417758</v>
      </c>
      <c r="N716">
        <v>48912.58</v>
      </c>
      <c r="O716" t="s">
        <v>42</v>
      </c>
    </row>
    <row r="717" spans="1:15" x14ac:dyDescent="0.25">
      <c r="A717" t="s">
        <v>787</v>
      </c>
      <c r="B717" s="1">
        <v>45997</v>
      </c>
      <c r="C717" t="s">
        <v>36</v>
      </c>
      <c r="D717" t="s">
        <v>85</v>
      </c>
      <c r="E717" t="s">
        <v>86</v>
      </c>
      <c r="F717" t="s">
        <v>39</v>
      </c>
      <c r="G717" t="s">
        <v>28</v>
      </c>
      <c r="H717" t="s">
        <v>40</v>
      </c>
      <c r="I717" t="s">
        <v>80</v>
      </c>
      <c r="J717">
        <v>3</v>
      </c>
      <c r="K717">
        <v>15147</v>
      </c>
      <c r="L717">
        <v>0</v>
      </c>
      <c r="M717">
        <v>45441</v>
      </c>
      <c r="N717">
        <v>10407.129999999999</v>
      </c>
      <c r="O717" t="s">
        <v>23</v>
      </c>
    </row>
    <row r="718" spans="1:15" x14ac:dyDescent="0.25">
      <c r="A718" t="s">
        <v>788</v>
      </c>
      <c r="B718" s="1">
        <v>45766</v>
      </c>
      <c r="C718" t="s">
        <v>25</v>
      </c>
      <c r="D718" t="s">
        <v>26</v>
      </c>
      <c r="E718" t="s">
        <v>27</v>
      </c>
      <c r="F718" t="s">
        <v>63</v>
      </c>
      <c r="G718" t="s">
        <v>28</v>
      </c>
      <c r="H718" t="s">
        <v>77</v>
      </c>
      <c r="I718" t="s">
        <v>88</v>
      </c>
      <c r="J718">
        <v>1</v>
      </c>
      <c r="K718">
        <v>53234</v>
      </c>
      <c r="L718">
        <v>20</v>
      </c>
      <c r="M718">
        <v>42587.199999999997</v>
      </c>
      <c r="N718">
        <v>9904.2999999999993</v>
      </c>
      <c r="O718" t="s">
        <v>42</v>
      </c>
    </row>
    <row r="719" spans="1:15" x14ac:dyDescent="0.25">
      <c r="A719" t="s">
        <v>789</v>
      </c>
      <c r="B719" s="1">
        <v>45742</v>
      </c>
      <c r="C719" t="s">
        <v>36</v>
      </c>
      <c r="D719" t="s">
        <v>37</v>
      </c>
      <c r="E719" t="s">
        <v>38</v>
      </c>
      <c r="F719" t="s">
        <v>47</v>
      </c>
      <c r="G719" t="s">
        <v>20</v>
      </c>
      <c r="H719" t="s">
        <v>40</v>
      </c>
      <c r="I719" t="s">
        <v>80</v>
      </c>
      <c r="J719">
        <v>2</v>
      </c>
      <c r="K719">
        <v>58803</v>
      </c>
      <c r="L719">
        <v>20</v>
      </c>
      <c r="M719">
        <v>94084.800000000003</v>
      </c>
      <c r="N719">
        <v>9154.35</v>
      </c>
      <c r="O719" t="s">
        <v>23</v>
      </c>
    </row>
    <row r="720" spans="1:15" x14ac:dyDescent="0.25">
      <c r="A720" t="s">
        <v>790</v>
      </c>
      <c r="B720" s="1">
        <v>45658</v>
      </c>
      <c r="C720" t="s">
        <v>65</v>
      </c>
      <c r="D720" t="s">
        <v>82</v>
      </c>
      <c r="E720" t="s">
        <v>83</v>
      </c>
      <c r="F720" t="s">
        <v>47</v>
      </c>
      <c r="G720" t="s">
        <v>20</v>
      </c>
      <c r="H720" t="s">
        <v>29</v>
      </c>
      <c r="I720" t="s">
        <v>48</v>
      </c>
      <c r="J720">
        <v>4</v>
      </c>
      <c r="K720">
        <v>52550</v>
      </c>
      <c r="L720">
        <v>15</v>
      </c>
      <c r="M720">
        <v>178670</v>
      </c>
      <c r="N720">
        <v>35827.29</v>
      </c>
      <c r="O720" t="s">
        <v>34</v>
      </c>
    </row>
    <row r="721" spans="1:15" x14ac:dyDescent="0.25">
      <c r="A721" t="s">
        <v>791</v>
      </c>
      <c r="B721" s="1">
        <v>45847</v>
      </c>
      <c r="C721" t="s">
        <v>16</v>
      </c>
      <c r="D721" t="s">
        <v>17</v>
      </c>
      <c r="E721" t="s">
        <v>18</v>
      </c>
      <c r="F721" t="s">
        <v>39</v>
      </c>
      <c r="G721" t="s">
        <v>28</v>
      </c>
      <c r="H721" t="s">
        <v>77</v>
      </c>
      <c r="I721" t="s">
        <v>88</v>
      </c>
      <c r="J721">
        <v>7</v>
      </c>
      <c r="K721">
        <v>40618</v>
      </c>
      <c r="L721">
        <v>15</v>
      </c>
      <c r="M721">
        <v>241677.1</v>
      </c>
      <c r="N721">
        <v>44895.78</v>
      </c>
      <c r="O721" t="s">
        <v>42</v>
      </c>
    </row>
    <row r="722" spans="1:15" x14ac:dyDescent="0.25">
      <c r="A722" t="s">
        <v>792</v>
      </c>
      <c r="B722" s="1">
        <v>45791</v>
      </c>
      <c r="C722" t="s">
        <v>36</v>
      </c>
      <c r="D722" t="s">
        <v>50</v>
      </c>
      <c r="E722" t="s">
        <v>51</v>
      </c>
      <c r="F722" t="s">
        <v>72</v>
      </c>
      <c r="G722" t="s">
        <v>28</v>
      </c>
      <c r="H722" t="s">
        <v>77</v>
      </c>
      <c r="I722" t="s">
        <v>100</v>
      </c>
      <c r="J722">
        <v>3</v>
      </c>
      <c r="K722">
        <v>25753</v>
      </c>
      <c r="L722">
        <v>5</v>
      </c>
      <c r="M722">
        <v>73396.05</v>
      </c>
      <c r="N722">
        <v>12571.86</v>
      </c>
      <c r="O722" t="s">
        <v>34</v>
      </c>
    </row>
    <row r="723" spans="1:15" x14ac:dyDescent="0.25">
      <c r="A723" t="s">
        <v>793</v>
      </c>
      <c r="B723" s="1">
        <v>45827</v>
      </c>
      <c r="C723" t="s">
        <v>36</v>
      </c>
      <c r="D723" t="s">
        <v>85</v>
      </c>
      <c r="E723" t="s">
        <v>86</v>
      </c>
      <c r="F723" t="s">
        <v>19</v>
      </c>
      <c r="G723" t="s">
        <v>28</v>
      </c>
      <c r="H723" t="s">
        <v>77</v>
      </c>
      <c r="I723" t="s">
        <v>88</v>
      </c>
      <c r="J723">
        <v>8</v>
      </c>
      <c r="K723">
        <v>16113</v>
      </c>
      <c r="L723">
        <v>5</v>
      </c>
      <c r="M723">
        <v>122458.8</v>
      </c>
      <c r="N723">
        <v>24623.93</v>
      </c>
      <c r="O723" t="s">
        <v>34</v>
      </c>
    </row>
    <row r="724" spans="1:15" x14ac:dyDescent="0.25">
      <c r="A724" t="s">
        <v>794</v>
      </c>
      <c r="B724" s="1">
        <v>45663</v>
      </c>
      <c r="C724" t="s">
        <v>16</v>
      </c>
      <c r="D724" t="s">
        <v>44</v>
      </c>
      <c r="E724" t="s">
        <v>44</v>
      </c>
      <c r="F724" t="s">
        <v>47</v>
      </c>
      <c r="G724" t="s">
        <v>20</v>
      </c>
      <c r="H724" t="s">
        <v>29</v>
      </c>
      <c r="I724" t="s">
        <v>30</v>
      </c>
      <c r="J724">
        <v>7</v>
      </c>
      <c r="K724">
        <v>21695</v>
      </c>
      <c r="L724">
        <v>0</v>
      </c>
      <c r="M724">
        <v>151865</v>
      </c>
      <c r="N724">
        <v>35179.980000000003</v>
      </c>
      <c r="O724" t="s">
        <v>34</v>
      </c>
    </row>
    <row r="725" spans="1:15" x14ac:dyDescent="0.25">
      <c r="A725" t="s">
        <v>795</v>
      </c>
      <c r="B725" s="1">
        <v>45838</v>
      </c>
      <c r="C725" t="s">
        <v>65</v>
      </c>
      <c r="D725" t="s">
        <v>66</v>
      </c>
      <c r="E725" t="s">
        <v>67</v>
      </c>
      <c r="F725" t="s">
        <v>47</v>
      </c>
      <c r="G725" t="s">
        <v>20</v>
      </c>
      <c r="H725" t="s">
        <v>21</v>
      </c>
      <c r="I725" t="s">
        <v>56</v>
      </c>
      <c r="J725">
        <v>8</v>
      </c>
      <c r="K725">
        <v>62313</v>
      </c>
      <c r="L725">
        <v>20</v>
      </c>
      <c r="M725">
        <v>398803.20000000001</v>
      </c>
      <c r="N725">
        <v>84291.83</v>
      </c>
      <c r="O725" t="s">
        <v>34</v>
      </c>
    </row>
    <row r="726" spans="1:15" x14ac:dyDescent="0.25">
      <c r="A726" t="s">
        <v>796</v>
      </c>
      <c r="B726" s="1">
        <v>45840</v>
      </c>
      <c r="C726" t="s">
        <v>36</v>
      </c>
      <c r="D726" t="s">
        <v>85</v>
      </c>
      <c r="E726" t="s">
        <v>86</v>
      </c>
      <c r="F726" t="s">
        <v>33</v>
      </c>
      <c r="G726" t="s">
        <v>28</v>
      </c>
      <c r="H726" t="s">
        <v>29</v>
      </c>
      <c r="I726" t="s">
        <v>30</v>
      </c>
      <c r="J726">
        <v>9</v>
      </c>
      <c r="K726">
        <v>63581</v>
      </c>
      <c r="L726">
        <v>5</v>
      </c>
      <c r="M726">
        <v>543617.55000000005</v>
      </c>
      <c r="N726">
        <v>119729.34</v>
      </c>
      <c r="O726" t="s">
        <v>34</v>
      </c>
    </row>
    <row r="727" spans="1:15" x14ac:dyDescent="0.25">
      <c r="A727" t="s">
        <v>797</v>
      </c>
      <c r="B727" s="1">
        <v>45733</v>
      </c>
      <c r="C727" t="s">
        <v>25</v>
      </c>
      <c r="D727" t="s">
        <v>61</v>
      </c>
      <c r="E727" t="s">
        <v>62</v>
      </c>
      <c r="F727" t="s">
        <v>19</v>
      </c>
      <c r="G727" t="s">
        <v>20</v>
      </c>
      <c r="H727" t="s">
        <v>77</v>
      </c>
      <c r="I727" t="s">
        <v>78</v>
      </c>
      <c r="J727">
        <v>2</v>
      </c>
      <c r="K727">
        <v>54854</v>
      </c>
      <c r="L727">
        <v>20</v>
      </c>
      <c r="M727">
        <v>87766.399999999994</v>
      </c>
      <c r="N727">
        <v>19392.68</v>
      </c>
      <c r="O727" t="s">
        <v>23</v>
      </c>
    </row>
    <row r="728" spans="1:15" x14ac:dyDescent="0.25">
      <c r="A728" t="s">
        <v>798</v>
      </c>
      <c r="B728" s="1">
        <v>45724</v>
      </c>
      <c r="C728" t="s">
        <v>16</v>
      </c>
      <c r="D728" t="s">
        <v>106</v>
      </c>
      <c r="E728" t="s">
        <v>107</v>
      </c>
      <c r="F728" t="s">
        <v>33</v>
      </c>
      <c r="G728" t="s">
        <v>20</v>
      </c>
      <c r="H728" t="s">
        <v>77</v>
      </c>
      <c r="I728" t="s">
        <v>100</v>
      </c>
      <c r="J728">
        <v>1</v>
      </c>
      <c r="K728">
        <v>42802</v>
      </c>
      <c r="L728">
        <v>0</v>
      </c>
      <c r="M728">
        <v>42802</v>
      </c>
      <c r="N728">
        <v>7298.09</v>
      </c>
      <c r="O728" t="s">
        <v>34</v>
      </c>
    </row>
    <row r="729" spans="1:15" x14ac:dyDescent="0.25">
      <c r="A729" t="s">
        <v>799</v>
      </c>
      <c r="B729" s="1">
        <v>45972</v>
      </c>
      <c r="C729" t="s">
        <v>25</v>
      </c>
      <c r="D729" t="s">
        <v>61</v>
      </c>
      <c r="E729" t="s">
        <v>62</v>
      </c>
      <c r="F729" t="s">
        <v>47</v>
      </c>
      <c r="G729" t="s">
        <v>20</v>
      </c>
      <c r="H729" t="s">
        <v>40</v>
      </c>
      <c r="I729" t="s">
        <v>59</v>
      </c>
      <c r="J729">
        <v>7</v>
      </c>
      <c r="K729">
        <v>22057</v>
      </c>
      <c r="L729">
        <v>0</v>
      </c>
      <c r="M729">
        <v>154399</v>
      </c>
      <c r="N729">
        <v>33936.44</v>
      </c>
      <c r="O729" t="s">
        <v>23</v>
      </c>
    </row>
    <row r="730" spans="1:15" x14ac:dyDescent="0.25">
      <c r="A730" t="s">
        <v>800</v>
      </c>
      <c r="B730" s="1">
        <v>45824</v>
      </c>
      <c r="C730" t="s">
        <v>36</v>
      </c>
      <c r="D730" t="s">
        <v>50</v>
      </c>
      <c r="E730" t="s">
        <v>51</v>
      </c>
      <c r="F730" t="s">
        <v>19</v>
      </c>
      <c r="G730" t="s">
        <v>20</v>
      </c>
      <c r="H730" t="s">
        <v>21</v>
      </c>
      <c r="I730" t="s">
        <v>45</v>
      </c>
      <c r="J730">
        <v>2</v>
      </c>
      <c r="K730">
        <v>43120</v>
      </c>
      <c r="L730">
        <v>10</v>
      </c>
      <c r="M730">
        <v>77616</v>
      </c>
      <c r="N730">
        <v>17676</v>
      </c>
      <c r="O730" t="s">
        <v>34</v>
      </c>
    </row>
    <row r="731" spans="1:15" x14ac:dyDescent="0.25">
      <c r="A731" t="s">
        <v>801</v>
      </c>
      <c r="B731" s="1">
        <v>45694</v>
      </c>
      <c r="C731" t="s">
        <v>16</v>
      </c>
      <c r="D731" t="s">
        <v>106</v>
      </c>
      <c r="E731" t="s">
        <v>107</v>
      </c>
      <c r="F731" t="s">
        <v>47</v>
      </c>
      <c r="G731" t="s">
        <v>20</v>
      </c>
      <c r="H731" t="s">
        <v>77</v>
      </c>
      <c r="I731" t="s">
        <v>88</v>
      </c>
      <c r="J731">
        <v>1</v>
      </c>
      <c r="K731">
        <v>41062</v>
      </c>
      <c r="L731">
        <v>10</v>
      </c>
      <c r="M731">
        <v>36955.800000000003</v>
      </c>
      <c r="N731">
        <v>6676.96</v>
      </c>
      <c r="O731" t="s">
        <v>42</v>
      </c>
    </row>
    <row r="732" spans="1:15" x14ac:dyDescent="0.25">
      <c r="A732" t="s">
        <v>802</v>
      </c>
      <c r="B732" s="1">
        <v>45666</v>
      </c>
      <c r="C732" t="s">
        <v>16</v>
      </c>
      <c r="D732" t="s">
        <v>44</v>
      </c>
      <c r="E732" t="s">
        <v>44</v>
      </c>
      <c r="F732" t="s">
        <v>39</v>
      </c>
      <c r="G732" t="s">
        <v>28</v>
      </c>
      <c r="H732" t="s">
        <v>40</v>
      </c>
      <c r="I732" t="s">
        <v>80</v>
      </c>
      <c r="J732">
        <v>1</v>
      </c>
      <c r="K732">
        <v>45849</v>
      </c>
      <c r="L732">
        <v>10</v>
      </c>
      <c r="M732">
        <v>41264.1</v>
      </c>
      <c r="N732">
        <v>6521.98</v>
      </c>
      <c r="O732" t="s">
        <v>34</v>
      </c>
    </row>
    <row r="733" spans="1:15" x14ac:dyDescent="0.25">
      <c r="A733" t="s">
        <v>803</v>
      </c>
      <c r="B733" s="1">
        <v>45871</v>
      </c>
      <c r="C733" t="s">
        <v>25</v>
      </c>
      <c r="D733" t="s">
        <v>26</v>
      </c>
      <c r="E733" t="s">
        <v>27</v>
      </c>
      <c r="F733" t="s">
        <v>47</v>
      </c>
      <c r="G733" t="s">
        <v>28</v>
      </c>
      <c r="H733" t="s">
        <v>29</v>
      </c>
      <c r="I733" t="s">
        <v>53</v>
      </c>
      <c r="J733">
        <v>9</v>
      </c>
      <c r="K733">
        <v>44336</v>
      </c>
      <c r="L733">
        <v>15</v>
      </c>
      <c r="M733">
        <v>339170.4</v>
      </c>
      <c r="N733">
        <v>68131.19</v>
      </c>
      <c r="O733" t="s">
        <v>42</v>
      </c>
    </row>
    <row r="734" spans="1:15" x14ac:dyDescent="0.25">
      <c r="A734" t="s">
        <v>804</v>
      </c>
      <c r="B734" s="1">
        <v>45662</v>
      </c>
      <c r="C734" t="s">
        <v>36</v>
      </c>
      <c r="D734" t="s">
        <v>50</v>
      </c>
      <c r="E734" t="s">
        <v>51</v>
      </c>
      <c r="F734" t="s">
        <v>39</v>
      </c>
      <c r="G734" t="s">
        <v>20</v>
      </c>
      <c r="H734" t="s">
        <v>29</v>
      </c>
      <c r="I734" t="s">
        <v>30</v>
      </c>
      <c r="J734">
        <v>6</v>
      </c>
      <c r="K734">
        <v>22451</v>
      </c>
      <c r="L734">
        <v>20</v>
      </c>
      <c r="M734">
        <v>107764.8</v>
      </c>
      <c r="N734">
        <v>11770.28</v>
      </c>
      <c r="O734" t="s">
        <v>23</v>
      </c>
    </row>
    <row r="735" spans="1:15" x14ac:dyDescent="0.25">
      <c r="A735" t="s">
        <v>805</v>
      </c>
      <c r="B735" s="1">
        <v>46000</v>
      </c>
      <c r="C735" t="s">
        <v>65</v>
      </c>
      <c r="D735" t="s">
        <v>66</v>
      </c>
      <c r="E735" t="s">
        <v>67</v>
      </c>
      <c r="F735" t="s">
        <v>33</v>
      </c>
      <c r="G735" t="s">
        <v>20</v>
      </c>
      <c r="H735" t="s">
        <v>68</v>
      </c>
      <c r="I735" t="s">
        <v>94</v>
      </c>
      <c r="J735">
        <v>8</v>
      </c>
      <c r="K735">
        <v>32397</v>
      </c>
      <c r="L735">
        <v>5</v>
      </c>
      <c r="M735">
        <v>246217.2</v>
      </c>
      <c r="N735">
        <v>56465.05</v>
      </c>
      <c r="O735" t="s">
        <v>23</v>
      </c>
    </row>
    <row r="736" spans="1:15" x14ac:dyDescent="0.25">
      <c r="A736" t="s">
        <v>806</v>
      </c>
      <c r="B736" s="1">
        <v>45827</v>
      </c>
      <c r="C736" t="s">
        <v>65</v>
      </c>
      <c r="D736" t="s">
        <v>82</v>
      </c>
      <c r="E736" t="s">
        <v>83</v>
      </c>
      <c r="F736" t="s">
        <v>72</v>
      </c>
      <c r="G736" t="s">
        <v>20</v>
      </c>
      <c r="H736" t="s">
        <v>21</v>
      </c>
      <c r="I736" t="s">
        <v>56</v>
      </c>
      <c r="J736">
        <v>10</v>
      </c>
      <c r="K736">
        <v>35860</v>
      </c>
      <c r="L736">
        <v>10</v>
      </c>
      <c r="M736">
        <v>322740</v>
      </c>
      <c r="N736">
        <v>37316.5</v>
      </c>
      <c r="O736" t="s">
        <v>34</v>
      </c>
    </row>
    <row r="737" spans="1:15" x14ac:dyDescent="0.25">
      <c r="A737" t="s">
        <v>807</v>
      </c>
      <c r="B737" s="1">
        <v>45793</v>
      </c>
      <c r="C737" t="s">
        <v>16</v>
      </c>
      <c r="D737" t="s">
        <v>106</v>
      </c>
      <c r="E737" t="s">
        <v>107</v>
      </c>
      <c r="F737" t="s">
        <v>39</v>
      </c>
      <c r="G737" t="s">
        <v>20</v>
      </c>
      <c r="H737" t="s">
        <v>40</v>
      </c>
      <c r="I737" t="s">
        <v>59</v>
      </c>
      <c r="J737">
        <v>8</v>
      </c>
      <c r="K737">
        <v>38488</v>
      </c>
      <c r="L737">
        <v>10</v>
      </c>
      <c r="M737">
        <v>277113.59999999998</v>
      </c>
      <c r="N737">
        <v>46443.79</v>
      </c>
      <c r="O737" t="s">
        <v>42</v>
      </c>
    </row>
    <row r="738" spans="1:15" x14ac:dyDescent="0.25">
      <c r="A738" t="s">
        <v>808</v>
      </c>
      <c r="B738" s="1">
        <v>45680</v>
      </c>
      <c r="C738" t="s">
        <v>25</v>
      </c>
      <c r="D738" t="s">
        <v>26</v>
      </c>
      <c r="E738" t="s">
        <v>27</v>
      </c>
      <c r="F738" t="s">
        <v>39</v>
      </c>
      <c r="G738" t="s">
        <v>20</v>
      </c>
      <c r="H738" t="s">
        <v>77</v>
      </c>
      <c r="I738" t="s">
        <v>78</v>
      </c>
      <c r="J738">
        <v>10</v>
      </c>
      <c r="K738">
        <v>33931</v>
      </c>
      <c r="L738">
        <v>10</v>
      </c>
      <c r="M738">
        <v>305379</v>
      </c>
      <c r="N738">
        <v>73048.149999999994</v>
      </c>
      <c r="O738" t="s">
        <v>23</v>
      </c>
    </row>
    <row r="739" spans="1:15" x14ac:dyDescent="0.25">
      <c r="A739" t="s">
        <v>809</v>
      </c>
      <c r="B739" s="1">
        <v>45843</v>
      </c>
      <c r="C739" t="s">
        <v>65</v>
      </c>
      <c r="D739" t="s">
        <v>66</v>
      </c>
      <c r="E739" t="s">
        <v>67</v>
      </c>
      <c r="F739" t="s">
        <v>52</v>
      </c>
      <c r="G739" t="s">
        <v>20</v>
      </c>
      <c r="H739" t="s">
        <v>29</v>
      </c>
      <c r="I739" t="s">
        <v>30</v>
      </c>
      <c r="J739">
        <v>8</v>
      </c>
      <c r="K739">
        <v>42341</v>
      </c>
      <c r="L739">
        <v>20</v>
      </c>
      <c r="M739">
        <v>270982.40000000002</v>
      </c>
      <c r="N739">
        <v>48073.8</v>
      </c>
      <c r="O739" t="s">
        <v>34</v>
      </c>
    </row>
    <row r="740" spans="1:15" x14ac:dyDescent="0.25">
      <c r="A740" t="s">
        <v>810</v>
      </c>
      <c r="B740" s="1">
        <v>45922</v>
      </c>
      <c r="C740" t="s">
        <v>36</v>
      </c>
      <c r="D740" t="s">
        <v>37</v>
      </c>
      <c r="E740" t="s">
        <v>38</v>
      </c>
      <c r="F740" t="s">
        <v>72</v>
      </c>
      <c r="G740" t="s">
        <v>28</v>
      </c>
      <c r="H740" t="s">
        <v>29</v>
      </c>
      <c r="I740" t="s">
        <v>53</v>
      </c>
      <c r="J740">
        <v>2</v>
      </c>
      <c r="K740">
        <v>68229</v>
      </c>
      <c r="L740">
        <v>10</v>
      </c>
      <c r="M740">
        <v>122812.2</v>
      </c>
      <c r="N740">
        <v>24871.95</v>
      </c>
      <c r="O740" t="s">
        <v>42</v>
      </c>
    </row>
    <row r="741" spans="1:15" x14ac:dyDescent="0.25">
      <c r="A741" t="s">
        <v>811</v>
      </c>
      <c r="B741" s="1">
        <v>45979</v>
      </c>
      <c r="C741" t="s">
        <v>36</v>
      </c>
      <c r="D741" t="s">
        <v>50</v>
      </c>
      <c r="E741" t="s">
        <v>51</v>
      </c>
      <c r="F741" t="s">
        <v>93</v>
      </c>
      <c r="G741" t="s">
        <v>20</v>
      </c>
      <c r="H741" t="s">
        <v>40</v>
      </c>
      <c r="I741" t="s">
        <v>80</v>
      </c>
      <c r="J741">
        <v>10</v>
      </c>
      <c r="K741">
        <v>2671</v>
      </c>
      <c r="L741">
        <v>0</v>
      </c>
      <c r="M741">
        <v>26710</v>
      </c>
      <c r="N741">
        <v>3874.55</v>
      </c>
      <c r="O741" t="s">
        <v>42</v>
      </c>
    </row>
    <row r="742" spans="1:15" x14ac:dyDescent="0.25">
      <c r="A742" t="s">
        <v>812</v>
      </c>
      <c r="B742" s="1">
        <v>45910</v>
      </c>
      <c r="C742" t="s">
        <v>36</v>
      </c>
      <c r="D742" t="s">
        <v>85</v>
      </c>
      <c r="E742" t="s">
        <v>86</v>
      </c>
      <c r="F742" t="s">
        <v>63</v>
      </c>
      <c r="G742" t="s">
        <v>28</v>
      </c>
      <c r="H742" t="s">
        <v>77</v>
      </c>
      <c r="I742" t="s">
        <v>78</v>
      </c>
      <c r="J742">
        <v>6</v>
      </c>
      <c r="K742">
        <v>2690</v>
      </c>
      <c r="L742">
        <v>20</v>
      </c>
      <c r="M742">
        <v>12912</v>
      </c>
      <c r="N742">
        <v>2543.42</v>
      </c>
      <c r="O742" t="s">
        <v>31</v>
      </c>
    </row>
    <row r="743" spans="1:15" x14ac:dyDescent="0.25">
      <c r="A743" t="s">
        <v>813</v>
      </c>
      <c r="B743" s="1">
        <v>45821</v>
      </c>
      <c r="C743" t="s">
        <v>16</v>
      </c>
      <c r="D743" t="s">
        <v>44</v>
      </c>
      <c r="E743" t="s">
        <v>44</v>
      </c>
      <c r="F743" t="s">
        <v>47</v>
      </c>
      <c r="G743" t="s">
        <v>20</v>
      </c>
      <c r="H743" t="s">
        <v>29</v>
      </c>
      <c r="I743" t="s">
        <v>48</v>
      </c>
      <c r="J743">
        <v>7</v>
      </c>
      <c r="K743">
        <v>41303</v>
      </c>
      <c r="L743">
        <v>20</v>
      </c>
      <c r="M743">
        <v>231296.8</v>
      </c>
      <c r="N743">
        <v>47178.71</v>
      </c>
      <c r="O743" t="s">
        <v>23</v>
      </c>
    </row>
    <row r="744" spans="1:15" x14ac:dyDescent="0.25">
      <c r="A744" t="s">
        <v>814</v>
      </c>
      <c r="B744" s="1">
        <v>45706</v>
      </c>
      <c r="C744" t="s">
        <v>36</v>
      </c>
      <c r="D744" t="s">
        <v>37</v>
      </c>
      <c r="E744" t="s">
        <v>38</v>
      </c>
      <c r="F744" t="s">
        <v>72</v>
      </c>
      <c r="G744" t="s">
        <v>28</v>
      </c>
      <c r="H744" t="s">
        <v>29</v>
      </c>
      <c r="I744" t="s">
        <v>48</v>
      </c>
      <c r="J744">
        <v>3</v>
      </c>
      <c r="K744">
        <v>11012</v>
      </c>
      <c r="L744">
        <v>5</v>
      </c>
      <c r="M744">
        <v>31384.2</v>
      </c>
      <c r="N744">
        <v>6732.46</v>
      </c>
      <c r="O744" t="s">
        <v>23</v>
      </c>
    </row>
    <row r="745" spans="1:15" x14ac:dyDescent="0.25">
      <c r="A745" t="s">
        <v>815</v>
      </c>
      <c r="B745" s="1">
        <v>46004</v>
      </c>
      <c r="C745" t="s">
        <v>36</v>
      </c>
      <c r="D745" t="s">
        <v>37</v>
      </c>
      <c r="E745" t="s">
        <v>38</v>
      </c>
      <c r="F745" t="s">
        <v>19</v>
      </c>
      <c r="G745" t="s">
        <v>28</v>
      </c>
      <c r="H745" t="s">
        <v>77</v>
      </c>
      <c r="I745" t="s">
        <v>88</v>
      </c>
      <c r="J745">
        <v>1</v>
      </c>
      <c r="K745">
        <v>63990</v>
      </c>
      <c r="L745">
        <v>20</v>
      </c>
      <c r="M745">
        <v>51192</v>
      </c>
      <c r="N745">
        <v>12360.69</v>
      </c>
      <c r="O745" t="s">
        <v>34</v>
      </c>
    </row>
    <row r="746" spans="1:15" x14ac:dyDescent="0.25">
      <c r="A746" t="s">
        <v>816</v>
      </c>
      <c r="B746" s="1">
        <v>45828</v>
      </c>
      <c r="C746" t="s">
        <v>16</v>
      </c>
      <c r="D746" t="s">
        <v>106</v>
      </c>
      <c r="E746" t="s">
        <v>107</v>
      </c>
      <c r="F746" t="s">
        <v>47</v>
      </c>
      <c r="G746" t="s">
        <v>28</v>
      </c>
      <c r="H746" t="s">
        <v>21</v>
      </c>
      <c r="I746" t="s">
        <v>45</v>
      </c>
      <c r="J746">
        <v>5</v>
      </c>
      <c r="K746">
        <v>6046</v>
      </c>
      <c r="L746">
        <v>10</v>
      </c>
      <c r="M746">
        <v>27207</v>
      </c>
      <c r="N746">
        <v>2441.5700000000002</v>
      </c>
      <c r="O746" t="s">
        <v>42</v>
      </c>
    </row>
    <row r="747" spans="1:15" x14ac:dyDescent="0.25">
      <c r="A747" t="s">
        <v>817</v>
      </c>
      <c r="B747" s="1">
        <v>45793</v>
      </c>
      <c r="C747" t="s">
        <v>16</v>
      </c>
      <c r="D747" t="s">
        <v>44</v>
      </c>
      <c r="E747" t="s">
        <v>44</v>
      </c>
      <c r="F747" t="s">
        <v>93</v>
      </c>
      <c r="G747" t="s">
        <v>28</v>
      </c>
      <c r="H747" t="s">
        <v>40</v>
      </c>
      <c r="I747" t="s">
        <v>41</v>
      </c>
      <c r="J747">
        <v>10</v>
      </c>
      <c r="K747">
        <v>41029</v>
      </c>
      <c r="L747">
        <v>5</v>
      </c>
      <c r="M747">
        <v>389775.5</v>
      </c>
      <c r="N747">
        <v>50411.42</v>
      </c>
      <c r="O747" t="s">
        <v>31</v>
      </c>
    </row>
    <row r="748" spans="1:15" x14ac:dyDescent="0.25">
      <c r="A748" t="s">
        <v>818</v>
      </c>
      <c r="B748" s="1">
        <v>45834</v>
      </c>
      <c r="C748" t="s">
        <v>65</v>
      </c>
      <c r="D748" t="s">
        <v>82</v>
      </c>
      <c r="E748" t="s">
        <v>83</v>
      </c>
      <c r="F748" t="s">
        <v>52</v>
      </c>
      <c r="G748" t="s">
        <v>20</v>
      </c>
      <c r="H748" t="s">
        <v>29</v>
      </c>
      <c r="I748" t="s">
        <v>48</v>
      </c>
      <c r="J748">
        <v>3</v>
      </c>
      <c r="K748">
        <v>54551</v>
      </c>
      <c r="L748">
        <v>10</v>
      </c>
      <c r="M748">
        <v>147287.70000000001</v>
      </c>
      <c r="N748">
        <v>16121.79</v>
      </c>
      <c r="O748" t="s">
        <v>23</v>
      </c>
    </row>
    <row r="749" spans="1:15" x14ac:dyDescent="0.25">
      <c r="A749" t="s">
        <v>819</v>
      </c>
      <c r="B749" s="1">
        <v>45681</v>
      </c>
      <c r="C749" t="s">
        <v>36</v>
      </c>
      <c r="D749" t="s">
        <v>85</v>
      </c>
      <c r="E749" t="s">
        <v>86</v>
      </c>
      <c r="F749" t="s">
        <v>72</v>
      </c>
      <c r="G749" t="s">
        <v>20</v>
      </c>
      <c r="H749" t="s">
        <v>68</v>
      </c>
      <c r="I749" t="s">
        <v>69</v>
      </c>
      <c r="J749">
        <v>5</v>
      </c>
      <c r="K749">
        <v>53768</v>
      </c>
      <c r="L749">
        <v>10</v>
      </c>
      <c r="M749">
        <v>241956</v>
      </c>
      <c r="N749">
        <v>25365.59</v>
      </c>
      <c r="O749" t="s">
        <v>34</v>
      </c>
    </row>
    <row r="750" spans="1:15" x14ac:dyDescent="0.25">
      <c r="A750" t="s">
        <v>820</v>
      </c>
      <c r="B750" s="1">
        <v>45925</v>
      </c>
      <c r="C750" t="s">
        <v>25</v>
      </c>
      <c r="D750" t="s">
        <v>26</v>
      </c>
      <c r="E750" t="s">
        <v>27</v>
      </c>
      <c r="F750" t="s">
        <v>52</v>
      </c>
      <c r="G750" t="s">
        <v>20</v>
      </c>
      <c r="H750" t="s">
        <v>68</v>
      </c>
      <c r="I750" t="s">
        <v>69</v>
      </c>
      <c r="J750">
        <v>9</v>
      </c>
      <c r="K750">
        <v>5173</v>
      </c>
      <c r="L750">
        <v>5</v>
      </c>
      <c r="M750">
        <v>44229.15</v>
      </c>
      <c r="N750">
        <v>7807.04</v>
      </c>
      <c r="O750" t="s">
        <v>31</v>
      </c>
    </row>
    <row r="751" spans="1:15" x14ac:dyDescent="0.25">
      <c r="A751" t="s">
        <v>821</v>
      </c>
      <c r="B751" s="1">
        <v>45991</v>
      </c>
      <c r="C751" t="s">
        <v>16</v>
      </c>
      <c r="D751" t="s">
        <v>106</v>
      </c>
      <c r="E751" t="s">
        <v>107</v>
      </c>
      <c r="F751" t="s">
        <v>72</v>
      </c>
      <c r="G751" t="s">
        <v>28</v>
      </c>
      <c r="H751" t="s">
        <v>77</v>
      </c>
      <c r="I751" t="s">
        <v>100</v>
      </c>
      <c r="J751">
        <v>10</v>
      </c>
      <c r="K751">
        <v>60513</v>
      </c>
      <c r="L751">
        <v>15</v>
      </c>
      <c r="M751">
        <v>514360.5</v>
      </c>
      <c r="N751">
        <v>83637.72</v>
      </c>
      <c r="O751" t="s">
        <v>34</v>
      </c>
    </row>
    <row r="752" spans="1:15" x14ac:dyDescent="0.25">
      <c r="A752" t="s">
        <v>822</v>
      </c>
      <c r="B752" s="1">
        <v>46011</v>
      </c>
      <c r="C752" t="s">
        <v>25</v>
      </c>
      <c r="D752" t="s">
        <v>61</v>
      </c>
      <c r="E752" t="s">
        <v>62</v>
      </c>
      <c r="F752" t="s">
        <v>19</v>
      </c>
      <c r="G752" t="s">
        <v>20</v>
      </c>
      <c r="H752" t="s">
        <v>77</v>
      </c>
      <c r="I752" t="s">
        <v>88</v>
      </c>
      <c r="J752">
        <v>8</v>
      </c>
      <c r="K752">
        <v>34951</v>
      </c>
      <c r="L752">
        <v>20</v>
      </c>
      <c r="M752">
        <v>223686.39999999999</v>
      </c>
      <c r="N752">
        <v>34412.879999999997</v>
      </c>
      <c r="O752" t="s">
        <v>42</v>
      </c>
    </row>
    <row r="753" spans="1:15" x14ac:dyDescent="0.25">
      <c r="A753" t="s">
        <v>823</v>
      </c>
      <c r="B753" s="1">
        <v>45668</v>
      </c>
      <c r="C753" t="s">
        <v>36</v>
      </c>
      <c r="D753" t="s">
        <v>85</v>
      </c>
      <c r="E753" t="s">
        <v>86</v>
      </c>
      <c r="F753" t="s">
        <v>72</v>
      </c>
      <c r="G753" t="s">
        <v>20</v>
      </c>
      <c r="H753" t="s">
        <v>68</v>
      </c>
      <c r="I753" t="s">
        <v>90</v>
      </c>
      <c r="J753">
        <v>7</v>
      </c>
      <c r="K753">
        <v>27699</v>
      </c>
      <c r="L753">
        <v>15</v>
      </c>
      <c r="M753">
        <v>164809.04999999999</v>
      </c>
      <c r="N753">
        <v>20684.099999999999</v>
      </c>
      <c r="O753" t="s">
        <v>34</v>
      </c>
    </row>
    <row r="754" spans="1:15" x14ac:dyDescent="0.25">
      <c r="A754" t="s">
        <v>824</v>
      </c>
      <c r="B754" s="1">
        <v>46019</v>
      </c>
      <c r="C754" t="s">
        <v>16</v>
      </c>
      <c r="D754" t="s">
        <v>106</v>
      </c>
      <c r="E754" t="s">
        <v>107</v>
      </c>
      <c r="F754" t="s">
        <v>72</v>
      </c>
      <c r="G754" t="s">
        <v>28</v>
      </c>
      <c r="H754" t="s">
        <v>68</v>
      </c>
      <c r="I754" t="s">
        <v>69</v>
      </c>
      <c r="J754">
        <v>2</v>
      </c>
      <c r="K754">
        <v>48750</v>
      </c>
      <c r="L754">
        <v>5</v>
      </c>
      <c r="M754">
        <v>92625</v>
      </c>
      <c r="N754">
        <v>21097.68</v>
      </c>
      <c r="O754" t="s">
        <v>23</v>
      </c>
    </row>
    <row r="755" spans="1:15" x14ac:dyDescent="0.25">
      <c r="A755" t="s">
        <v>825</v>
      </c>
      <c r="B755" s="1">
        <v>45782</v>
      </c>
      <c r="C755" t="s">
        <v>25</v>
      </c>
      <c r="D755" t="s">
        <v>61</v>
      </c>
      <c r="E755" t="s">
        <v>62</v>
      </c>
      <c r="F755" t="s">
        <v>33</v>
      </c>
      <c r="G755" t="s">
        <v>20</v>
      </c>
      <c r="H755" t="s">
        <v>21</v>
      </c>
      <c r="I755" t="s">
        <v>22</v>
      </c>
      <c r="J755">
        <v>4</v>
      </c>
      <c r="K755">
        <v>55380</v>
      </c>
      <c r="L755">
        <v>10</v>
      </c>
      <c r="M755">
        <v>199368</v>
      </c>
      <c r="N755">
        <v>27432</v>
      </c>
      <c r="O755" t="s">
        <v>34</v>
      </c>
    </row>
    <row r="756" spans="1:15" x14ac:dyDescent="0.25">
      <c r="A756" t="s">
        <v>826</v>
      </c>
      <c r="B756" s="1">
        <v>45955</v>
      </c>
      <c r="C756" t="s">
        <v>16</v>
      </c>
      <c r="D756" t="s">
        <v>44</v>
      </c>
      <c r="E756" t="s">
        <v>44</v>
      </c>
      <c r="F756" t="s">
        <v>63</v>
      </c>
      <c r="G756" t="s">
        <v>28</v>
      </c>
      <c r="H756" t="s">
        <v>21</v>
      </c>
      <c r="I756" t="s">
        <v>56</v>
      </c>
      <c r="J756">
        <v>4</v>
      </c>
      <c r="K756">
        <v>22769</v>
      </c>
      <c r="L756">
        <v>20</v>
      </c>
      <c r="M756">
        <v>72860.800000000003</v>
      </c>
      <c r="N756">
        <v>9671.06</v>
      </c>
      <c r="O756" t="s">
        <v>34</v>
      </c>
    </row>
    <row r="757" spans="1:15" x14ac:dyDescent="0.25">
      <c r="A757" t="s">
        <v>827</v>
      </c>
      <c r="B757" s="1">
        <v>45718</v>
      </c>
      <c r="C757" t="s">
        <v>65</v>
      </c>
      <c r="D757" t="s">
        <v>82</v>
      </c>
      <c r="E757" t="s">
        <v>83</v>
      </c>
      <c r="F757" t="s">
        <v>39</v>
      </c>
      <c r="G757" t="s">
        <v>28</v>
      </c>
      <c r="H757" t="s">
        <v>77</v>
      </c>
      <c r="I757" t="s">
        <v>88</v>
      </c>
      <c r="J757">
        <v>4</v>
      </c>
      <c r="K757">
        <v>11879</v>
      </c>
      <c r="L757">
        <v>5</v>
      </c>
      <c r="M757">
        <v>45140.2</v>
      </c>
      <c r="N757">
        <v>8659.58</v>
      </c>
      <c r="O757" t="s">
        <v>23</v>
      </c>
    </row>
    <row r="758" spans="1:15" x14ac:dyDescent="0.25">
      <c r="A758" t="s">
        <v>828</v>
      </c>
      <c r="B758" s="1">
        <v>45771</v>
      </c>
      <c r="C758" t="s">
        <v>65</v>
      </c>
      <c r="D758" t="s">
        <v>82</v>
      </c>
      <c r="E758" t="s">
        <v>83</v>
      </c>
      <c r="F758" t="s">
        <v>52</v>
      </c>
      <c r="G758" t="s">
        <v>28</v>
      </c>
      <c r="H758" t="s">
        <v>29</v>
      </c>
      <c r="I758" t="s">
        <v>53</v>
      </c>
      <c r="J758">
        <v>5</v>
      </c>
      <c r="K758">
        <v>5103</v>
      </c>
      <c r="L758">
        <v>0</v>
      </c>
      <c r="M758">
        <v>25515</v>
      </c>
      <c r="N758">
        <v>5829.13</v>
      </c>
      <c r="O758" t="s">
        <v>23</v>
      </c>
    </row>
    <row r="759" spans="1:15" x14ac:dyDescent="0.25">
      <c r="A759" t="s">
        <v>829</v>
      </c>
      <c r="B759" s="1">
        <v>45870</v>
      </c>
      <c r="C759" t="s">
        <v>16</v>
      </c>
      <c r="D759" t="s">
        <v>44</v>
      </c>
      <c r="E759" t="s">
        <v>44</v>
      </c>
      <c r="F759" t="s">
        <v>52</v>
      </c>
      <c r="G759" t="s">
        <v>20</v>
      </c>
      <c r="H759" t="s">
        <v>68</v>
      </c>
      <c r="I759" t="s">
        <v>69</v>
      </c>
      <c r="J759">
        <v>9</v>
      </c>
      <c r="K759">
        <v>56046</v>
      </c>
      <c r="L759">
        <v>20</v>
      </c>
      <c r="M759">
        <v>403531.2</v>
      </c>
      <c r="N759">
        <v>87233.41</v>
      </c>
      <c r="O759" t="s">
        <v>42</v>
      </c>
    </row>
    <row r="760" spans="1:15" x14ac:dyDescent="0.25">
      <c r="A760" t="s">
        <v>830</v>
      </c>
      <c r="B760" s="1">
        <v>45761</v>
      </c>
      <c r="C760" t="s">
        <v>36</v>
      </c>
      <c r="D760" t="s">
        <v>85</v>
      </c>
      <c r="E760" t="s">
        <v>86</v>
      </c>
      <c r="F760" t="s">
        <v>39</v>
      </c>
      <c r="G760" t="s">
        <v>28</v>
      </c>
      <c r="H760" t="s">
        <v>68</v>
      </c>
      <c r="I760" t="s">
        <v>69</v>
      </c>
      <c r="J760">
        <v>6</v>
      </c>
      <c r="K760">
        <v>46015</v>
      </c>
      <c r="L760">
        <v>0</v>
      </c>
      <c r="M760">
        <v>276090</v>
      </c>
      <c r="N760">
        <v>55277.23</v>
      </c>
      <c r="O760" t="s">
        <v>31</v>
      </c>
    </row>
    <row r="761" spans="1:15" x14ac:dyDescent="0.25">
      <c r="A761" t="s">
        <v>831</v>
      </c>
      <c r="B761" s="1">
        <v>45854</v>
      </c>
      <c r="C761" t="s">
        <v>16</v>
      </c>
      <c r="D761" t="s">
        <v>44</v>
      </c>
      <c r="E761" t="s">
        <v>44</v>
      </c>
      <c r="F761" t="s">
        <v>47</v>
      </c>
      <c r="G761" t="s">
        <v>28</v>
      </c>
      <c r="H761" t="s">
        <v>40</v>
      </c>
      <c r="I761" t="s">
        <v>80</v>
      </c>
      <c r="J761">
        <v>3</v>
      </c>
      <c r="K761">
        <v>26974</v>
      </c>
      <c r="L761">
        <v>10</v>
      </c>
      <c r="M761">
        <v>72829.8</v>
      </c>
      <c r="N761">
        <v>6897.6</v>
      </c>
      <c r="O761" t="s">
        <v>23</v>
      </c>
    </row>
    <row r="762" spans="1:15" x14ac:dyDescent="0.25">
      <c r="A762" t="s">
        <v>832</v>
      </c>
      <c r="B762" s="1">
        <v>45658</v>
      </c>
      <c r="C762" t="s">
        <v>65</v>
      </c>
      <c r="D762" t="s">
        <v>66</v>
      </c>
      <c r="E762" t="s">
        <v>67</v>
      </c>
      <c r="F762" t="s">
        <v>72</v>
      </c>
      <c r="G762" t="s">
        <v>20</v>
      </c>
      <c r="H762" t="s">
        <v>21</v>
      </c>
      <c r="I762" t="s">
        <v>45</v>
      </c>
      <c r="J762">
        <v>6</v>
      </c>
      <c r="K762">
        <v>25506</v>
      </c>
      <c r="L762">
        <v>0</v>
      </c>
      <c r="M762">
        <v>153036</v>
      </c>
      <c r="N762">
        <v>21898.82</v>
      </c>
      <c r="O762" t="s">
        <v>34</v>
      </c>
    </row>
    <row r="763" spans="1:15" x14ac:dyDescent="0.25">
      <c r="A763" t="s">
        <v>833</v>
      </c>
      <c r="B763" s="1">
        <v>46001</v>
      </c>
      <c r="C763" t="s">
        <v>25</v>
      </c>
      <c r="D763" t="s">
        <v>61</v>
      </c>
      <c r="E763" t="s">
        <v>62</v>
      </c>
      <c r="F763" t="s">
        <v>33</v>
      </c>
      <c r="G763" t="s">
        <v>28</v>
      </c>
      <c r="H763" t="s">
        <v>77</v>
      </c>
      <c r="I763" t="s">
        <v>100</v>
      </c>
      <c r="J763">
        <v>7</v>
      </c>
      <c r="K763">
        <v>20778</v>
      </c>
      <c r="L763">
        <v>15</v>
      </c>
      <c r="M763">
        <v>123629.1</v>
      </c>
      <c r="N763">
        <v>27712.69</v>
      </c>
      <c r="O763" t="s">
        <v>31</v>
      </c>
    </row>
    <row r="764" spans="1:15" x14ac:dyDescent="0.25">
      <c r="A764" t="s">
        <v>834</v>
      </c>
      <c r="B764" s="1">
        <v>45944</v>
      </c>
      <c r="C764" t="s">
        <v>25</v>
      </c>
      <c r="D764" t="s">
        <v>61</v>
      </c>
      <c r="E764" t="s">
        <v>62</v>
      </c>
      <c r="F764" t="s">
        <v>72</v>
      </c>
      <c r="G764" t="s">
        <v>28</v>
      </c>
      <c r="H764" t="s">
        <v>40</v>
      </c>
      <c r="I764" t="s">
        <v>41</v>
      </c>
      <c r="J764">
        <v>9</v>
      </c>
      <c r="K764">
        <v>76537</v>
      </c>
      <c r="L764">
        <v>0</v>
      </c>
      <c r="M764">
        <v>688833</v>
      </c>
      <c r="N764">
        <v>169733.9</v>
      </c>
      <c r="O764" t="s">
        <v>23</v>
      </c>
    </row>
    <row r="765" spans="1:15" x14ac:dyDescent="0.25">
      <c r="A765" t="s">
        <v>835</v>
      </c>
      <c r="B765" s="1">
        <v>45911</v>
      </c>
      <c r="C765" t="s">
        <v>16</v>
      </c>
      <c r="D765" t="s">
        <v>17</v>
      </c>
      <c r="E765" t="s">
        <v>18</v>
      </c>
      <c r="F765" t="s">
        <v>47</v>
      </c>
      <c r="G765" t="s">
        <v>28</v>
      </c>
      <c r="H765" t="s">
        <v>40</v>
      </c>
      <c r="I765" t="s">
        <v>59</v>
      </c>
      <c r="J765">
        <v>7</v>
      </c>
      <c r="K765">
        <v>76345</v>
      </c>
      <c r="L765">
        <v>15</v>
      </c>
      <c r="M765">
        <v>454252.75</v>
      </c>
      <c r="N765">
        <v>58086.36</v>
      </c>
      <c r="O765" t="s">
        <v>42</v>
      </c>
    </row>
    <row r="766" spans="1:15" x14ac:dyDescent="0.25">
      <c r="A766" t="s">
        <v>836</v>
      </c>
      <c r="B766" s="1">
        <v>45990</v>
      </c>
      <c r="C766" t="s">
        <v>36</v>
      </c>
      <c r="D766" t="s">
        <v>50</v>
      </c>
      <c r="E766" t="s">
        <v>51</v>
      </c>
      <c r="F766" t="s">
        <v>33</v>
      </c>
      <c r="G766" t="s">
        <v>20</v>
      </c>
      <c r="H766" t="s">
        <v>40</v>
      </c>
      <c r="I766" t="s">
        <v>80</v>
      </c>
      <c r="J766">
        <v>5</v>
      </c>
      <c r="K766">
        <v>8286</v>
      </c>
      <c r="L766">
        <v>10</v>
      </c>
      <c r="M766">
        <v>37287</v>
      </c>
      <c r="N766">
        <v>9106.09</v>
      </c>
      <c r="O766" t="s">
        <v>31</v>
      </c>
    </row>
    <row r="767" spans="1:15" x14ac:dyDescent="0.25">
      <c r="A767" t="s">
        <v>837</v>
      </c>
      <c r="B767" s="1">
        <v>45804</v>
      </c>
      <c r="C767" t="s">
        <v>36</v>
      </c>
      <c r="D767" t="s">
        <v>85</v>
      </c>
      <c r="E767" t="s">
        <v>86</v>
      </c>
      <c r="F767" t="s">
        <v>93</v>
      </c>
      <c r="G767" t="s">
        <v>28</v>
      </c>
      <c r="H767" t="s">
        <v>40</v>
      </c>
      <c r="I767" t="s">
        <v>80</v>
      </c>
      <c r="J767">
        <v>9</v>
      </c>
      <c r="K767">
        <v>72022</v>
      </c>
      <c r="L767">
        <v>20</v>
      </c>
      <c r="M767">
        <v>518558.4</v>
      </c>
      <c r="N767">
        <v>82830.64</v>
      </c>
      <c r="O767" t="s">
        <v>23</v>
      </c>
    </row>
    <row r="768" spans="1:15" x14ac:dyDescent="0.25">
      <c r="A768" t="s">
        <v>838</v>
      </c>
      <c r="B768" s="1">
        <v>45910</v>
      </c>
      <c r="C768" t="s">
        <v>25</v>
      </c>
      <c r="D768" t="s">
        <v>26</v>
      </c>
      <c r="E768" t="s">
        <v>27</v>
      </c>
      <c r="F768" t="s">
        <v>33</v>
      </c>
      <c r="G768" t="s">
        <v>20</v>
      </c>
      <c r="H768" t="s">
        <v>68</v>
      </c>
      <c r="I768" t="s">
        <v>90</v>
      </c>
      <c r="J768">
        <v>3</v>
      </c>
      <c r="K768">
        <v>22999</v>
      </c>
      <c r="L768">
        <v>5</v>
      </c>
      <c r="M768">
        <v>65547.149999999994</v>
      </c>
      <c r="N768">
        <v>8714.68</v>
      </c>
      <c r="O768" t="s">
        <v>42</v>
      </c>
    </row>
    <row r="769" spans="1:15" x14ac:dyDescent="0.25">
      <c r="A769" t="s">
        <v>839</v>
      </c>
      <c r="B769" s="1">
        <v>45738</v>
      </c>
      <c r="C769" t="s">
        <v>36</v>
      </c>
      <c r="D769" t="s">
        <v>85</v>
      </c>
      <c r="E769" t="s">
        <v>86</v>
      </c>
      <c r="F769" t="s">
        <v>39</v>
      </c>
      <c r="G769" t="s">
        <v>28</v>
      </c>
      <c r="H769" t="s">
        <v>68</v>
      </c>
      <c r="I769" t="s">
        <v>94</v>
      </c>
      <c r="J769">
        <v>10</v>
      </c>
      <c r="K769">
        <v>50396</v>
      </c>
      <c r="L769">
        <v>5</v>
      </c>
      <c r="M769">
        <v>478762</v>
      </c>
      <c r="N769">
        <v>117877.96</v>
      </c>
      <c r="O769" t="s">
        <v>42</v>
      </c>
    </row>
    <row r="770" spans="1:15" x14ac:dyDescent="0.25">
      <c r="A770" t="s">
        <v>840</v>
      </c>
      <c r="B770" s="1">
        <v>45862</v>
      </c>
      <c r="C770" t="s">
        <v>25</v>
      </c>
      <c r="D770" t="s">
        <v>61</v>
      </c>
      <c r="E770" t="s">
        <v>62</v>
      </c>
      <c r="F770" t="s">
        <v>52</v>
      </c>
      <c r="G770" t="s">
        <v>20</v>
      </c>
      <c r="H770" t="s">
        <v>77</v>
      </c>
      <c r="I770" t="s">
        <v>88</v>
      </c>
      <c r="J770">
        <v>4</v>
      </c>
      <c r="K770">
        <v>26143</v>
      </c>
      <c r="L770">
        <v>0</v>
      </c>
      <c r="M770">
        <v>104572</v>
      </c>
      <c r="N770">
        <v>15065.03</v>
      </c>
      <c r="O770" t="s">
        <v>31</v>
      </c>
    </row>
    <row r="771" spans="1:15" x14ac:dyDescent="0.25">
      <c r="A771" t="s">
        <v>841</v>
      </c>
      <c r="B771" s="1">
        <v>45814</v>
      </c>
      <c r="C771" t="s">
        <v>36</v>
      </c>
      <c r="D771" t="s">
        <v>85</v>
      </c>
      <c r="E771" t="s">
        <v>86</v>
      </c>
      <c r="F771" t="s">
        <v>93</v>
      </c>
      <c r="G771" t="s">
        <v>28</v>
      </c>
      <c r="H771" t="s">
        <v>68</v>
      </c>
      <c r="I771" t="s">
        <v>94</v>
      </c>
      <c r="J771">
        <v>9</v>
      </c>
      <c r="K771">
        <v>3156</v>
      </c>
      <c r="L771">
        <v>15</v>
      </c>
      <c r="M771">
        <v>24143.4</v>
      </c>
      <c r="N771">
        <v>2652.38</v>
      </c>
      <c r="O771" t="s">
        <v>31</v>
      </c>
    </row>
    <row r="772" spans="1:15" x14ac:dyDescent="0.25">
      <c r="A772" t="s">
        <v>842</v>
      </c>
      <c r="B772" s="1">
        <v>45857</v>
      </c>
      <c r="C772" t="s">
        <v>25</v>
      </c>
      <c r="D772" t="s">
        <v>61</v>
      </c>
      <c r="E772" t="s">
        <v>62</v>
      </c>
      <c r="F772" t="s">
        <v>63</v>
      </c>
      <c r="G772" t="s">
        <v>28</v>
      </c>
      <c r="H772" t="s">
        <v>77</v>
      </c>
      <c r="I772" t="s">
        <v>88</v>
      </c>
      <c r="J772">
        <v>5</v>
      </c>
      <c r="K772">
        <v>75524</v>
      </c>
      <c r="L772">
        <v>20</v>
      </c>
      <c r="M772">
        <v>302096</v>
      </c>
      <c r="N772">
        <v>70487.960000000006</v>
      </c>
      <c r="O772" t="s">
        <v>34</v>
      </c>
    </row>
    <row r="773" spans="1:15" x14ac:dyDescent="0.25">
      <c r="A773" t="s">
        <v>843</v>
      </c>
      <c r="B773" s="1">
        <v>45992</v>
      </c>
      <c r="C773" t="s">
        <v>16</v>
      </c>
      <c r="D773" t="s">
        <v>106</v>
      </c>
      <c r="E773" t="s">
        <v>107</v>
      </c>
      <c r="F773" t="s">
        <v>52</v>
      </c>
      <c r="G773" t="s">
        <v>20</v>
      </c>
      <c r="H773" t="s">
        <v>68</v>
      </c>
      <c r="I773" t="s">
        <v>69</v>
      </c>
      <c r="J773">
        <v>6</v>
      </c>
      <c r="K773">
        <v>44441</v>
      </c>
      <c r="L773">
        <v>10</v>
      </c>
      <c r="M773">
        <v>239981.4</v>
      </c>
      <c r="N773">
        <v>25611.14</v>
      </c>
      <c r="O773" t="s">
        <v>34</v>
      </c>
    </row>
    <row r="774" spans="1:15" x14ac:dyDescent="0.25">
      <c r="A774" t="s">
        <v>844</v>
      </c>
      <c r="B774" s="1">
        <v>45909</v>
      </c>
      <c r="C774" t="s">
        <v>16</v>
      </c>
      <c r="D774" t="s">
        <v>44</v>
      </c>
      <c r="E774" t="s">
        <v>44</v>
      </c>
      <c r="F774" t="s">
        <v>19</v>
      </c>
      <c r="G774" t="s">
        <v>20</v>
      </c>
      <c r="H774" t="s">
        <v>29</v>
      </c>
      <c r="I774" t="s">
        <v>30</v>
      </c>
      <c r="J774">
        <v>5</v>
      </c>
      <c r="K774">
        <v>79887</v>
      </c>
      <c r="L774">
        <v>15</v>
      </c>
      <c r="M774">
        <v>339519.75</v>
      </c>
      <c r="N774">
        <v>55654.52</v>
      </c>
      <c r="O774" t="s">
        <v>23</v>
      </c>
    </row>
    <row r="775" spans="1:15" x14ac:dyDescent="0.25">
      <c r="A775" t="s">
        <v>845</v>
      </c>
      <c r="B775" s="1">
        <v>45997</v>
      </c>
      <c r="C775" t="s">
        <v>65</v>
      </c>
      <c r="D775" t="s">
        <v>66</v>
      </c>
      <c r="E775" t="s">
        <v>67</v>
      </c>
      <c r="F775" t="s">
        <v>63</v>
      </c>
      <c r="G775" t="s">
        <v>28</v>
      </c>
      <c r="H775" t="s">
        <v>21</v>
      </c>
      <c r="I775" t="s">
        <v>56</v>
      </c>
      <c r="J775">
        <v>2</v>
      </c>
      <c r="K775">
        <v>18681</v>
      </c>
      <c r="L775">
        <v>10</v>
      </c>
      <c r="M775">
        <v>33625.800000000003</v>
      </c>
      <c r="N775">
        <v>4444.71</v>
      </c>
      <c r="O775" t="s">
        <v>31</v>
      </c>
    </row>
    <row r="776" spans="1:15" x14ac:dyDescent="0.25">
      <c r="A776" t="s">
        <v>846</v>
      </c>
      <c r="B776" s="1">
        <v>45842</v>
      </c>
      <c r="C776" t="s">
        <v>65</v>
      </c>
      <c r="D776" t="s">
        <v>66</v>
      </c>
      <c r="E776" t="s">
        <v>67</v>
      </c>
      <c r="F776" t="s">
        <v>93</v>
      </c>
      <c r="G776" t="s">
        <v>20</v>
      </c>
      <c r="H776" t="s">
        <v>29</v>
      </c>
      <c r="I776" t="s">
        <v>30</v>
      </c>
      <c r="J776">
        <v>8</v>
      </c>
      <c r="K776">
        <v>65853</v>
      </c>
      <c r="L776">
        <v>10</v>
      </c>
      <c r="M776">
        <v>474141.6</v>
      </c>
      <c r="N776">
        <v>66769.740000000005</v>
      </c>
      <c r="O776" t="s">
        <v>42</v>
      </c>
    </row>
    <row r="777" spans="1:15" x14ac:dyDescent="0.25">
      <c r="A777" t="s">
        <v>847</v>
      </c>
      <c r="B777" s="1">
        <v>45948</v>
      </c>
      <c r="C777" t="s">
        <v>16</v>
      </c>
      <c r="D777" t="s">
        <v>17</v>
      </c>
      <c r="E777" t="s">
        <v>18</v>
      </c>
      <c r="F777" t="s">
        <v>52</v>
      </c>
      <c r="G777" t="s">
        <v>28</v>
      </c>
      <c r="H777" t="s">
        <v>77</v>
      </c>
      <c r="I777" t="s">
        <v>78</v>
      </c>
      <c r="J777">
        <v>1</v>
      </c>
      <c r="K777">
        <v>44828</v>
      </c>
      <c r="L777">
        <v>5</v>
      </c>
      <c r="M777">
        <v>42586.6</v>
      </c>
      <c r="N777">
        <v>6051.19</v>
      </c>
      <c r="O777" t="s">
        <v>31</v>
      </c>
    </row>
    <row r="778" spans="1:15" x14ac:dyDescent="0.25">
      <c r="A778" t="s">
        <v>848</v>
      </c>
      <c r="B778" s="1">
        <v>45875</v>
      </c>
      <c r="C778" t="s">
        <v>16</v>
      </c>
      <c r="D778" t="s">
        <v>17</v>
      </c>
      <c r="E778" t="s">
        <v>18</v>
      </c>
      <c r="F778" t="s">
        <v>19</v>
      </c>
      <c r="G778" t="s">
        <v>28</v>
      </c>
      <c r="H778" t="s">
        <v>21</v>
      </c>
      <c r="I778" t="s">
        <v>56</v>
      </c>
      <c r="J778">
        <v>7</v>
      </c>
      <c r="K778">
        <v>44766</v>
      </c>
      <c r="L778">
        <v>15</v>
      </c>
      <c r="M778">
        <v>266357.7</v>
      </c>
      <c r="N778">
        <v>35388.79</v>
      </c>
      <c r="O778" t="s">
        <v>23</v>
      </c>
    </row>
    <row r="779" spans="1:15" x14ac:dyDescent="0.25">
      <c r="A779" t="s">
        <v>849</v>
      </c>
      <c r="B779" s="1">
        <v>45785</v>
      </c>
      <c r="C779" t="s">
        <v>36</v>
      </c>
      <c r="D779" t="s">
        <v>85</v>
      </c>
      <c r="E779" t="s">
        <v>86</v>
      </c>
      <c r="F779" t="s">
        <v>93</v>
      </c>
      <c r="G779" t="s">
        <v>28</v>
      </c>
      <c r="H779" t="s">
        <v>29</v>
      </c>
      <c r="I779" t="s">
        <v>30</v>
      </c>
      <c r="J779">
        <v>5</v>
      </c>
      <c r="K779">
        <v>41689</v>
      </c>
      <c r="L779">
        <v>15</v>
      </c>
      <c r="M779">
        <v>177178.25</v>
      </c>
      <c r="N779">
        <v>19887.599999999999</v>
      </c>
      <c r="O779" t="s">
        <v>34</v>
      </c>
    </row>
    <row r="780" spans="1:15" x14ac:dyDescent="0.25">
      <c r="A780" t="s">
        <v>850</v>
      </c>
      <c r="B780" s="1">
        <v>45692</v>
      </c>
      <c r="C780" t="s">
        <v>16</v>
      </c>
      <c r="D780" t="s">
        <v>106</v>
      </c>
      <c r="E780" t="s">
        <v>107</v>
      </c>
      <c r="F780" t="s">
        <v>39</v>
      </c>
      <c r="G780" t="s">
        <v>28</v>
      </c>
      <c r="H780" t="s">
        <v>68</v>
      </c>
      <c r="I780" t="s">
        <v>94</v>
      </c>
      <c r="J780">
        <v>1</v>
      </c>
      <c r="K780">
        <v>46899</v>
      </c>
      <c r="L780">
        <v>5</v>
      </c>
      <c r="M780">
        <v>44554.05</v>
      </c>
      <c r="N780">
        <v>5113.79</v>
      </c>
      <c r="O780" t="s">
        <v>23</v>
      </c>
    </row>
    <row r="781" spans="1:15" x14ac:dyDescent="0.25">
      <c r="A781" t="s">
        <v>851</v>
      </c>
      <c r="B781" s="1">
        <v>46017</v>
      </c>
      <c r="C781" t="s">
        <v>36</v>
      </c>
      <c r="D781" t="s">
        <v>85</v>
      </c>
      <c r="E781" t="s">
        <v>86</v>
      </c>
      <c r="F781" t="s">
        <v>19</v>
      </c>
      <c r="G781" t="s">
        <v>20</v>
      </c>
      <c r="H781" t="s">
        <v>21</v>
      </c>
      <c r="I781" t="s">
        <v>56</v>
      </c>
      <c r="J781">
        <v>2</v>
      </c>
      <c r="K781">
        <v>62980</v>
      </c>
      <c r="L781">
        <v>15</v>
      </c>
      <c r="M781">
        <v>107066</v>
      </c>
      <c r="N781">
        <v>21949.87</v>
      </c>
      <c r="O781" t="s">
        <v>31</v>
      </c>
    </row>
    <row r="782" spans="1:15" x14ac:dyDescent="0.25">
      <c r="A782" t="s">
        <v>852</v>
      </c>
      <c r="B782" s="1">
        <v>45669</v>
      </c>
      <c r="C782" t="s">
        <v>36</v>
      </c>
      <c r="D782" t="s">
        <v>37</v>
      </c>
      <c r="E782" t="s">
        <v>38</v>
      </c>
      <c r="F782" t="s">
        <v>47</v>
      </c>
      <c r="G782" t="s">
        <v>20</v>
      </c>
      <c r="H782" t="s">
        <v>40</v>
      </c>
      <c r="I782" t="s">
        <v>41</v>
      </c>
      <c r="J782">
        <v>4</v>
      </c>
      <c r="K782">
        <v>78973</v>
      </c>
      <c r="L782">
        <v>15</v>
      </c>
      <c r="M782">
        <v>268508.2</v>
      </c>
      <c r="N782">
        <v>38187.81</v>
      </c>
      <c r="O782" t="s">
        <v>34</v>
      </c>
    </row>
    <row r="783" spans="1:15" x14ac:dyDescent="0.25">
      <c r="A783" t="s">
        <v>853</v>
      </c>
      <c r="B783" s="1">
        <v>45813</v>
      </c>
      <c r="C783" t="s">
        <v>25</v>
      </c>
      <c r="D783" t="s">
        <v>61</v>
      </c>
      <c r="E783" t="s">
        <v>62</v>
      </c>
      <c r="F783" t="s">
        <v>93</v>
      </c>
      <c r="G783" t="s">
        <v>28</v>
      </c>
      <c r="H783" t="s">
        <v>77</v>
      </c>
      <c r="I783" t="s">
        <v>100</v>
      </c>
      <c r="J783">
        <v>9</v>
      </c>
      <c r="K783">
        <v>42660</v>
      </c>
      <c r="L783">
        <v>10</v>
      </c>
      <c r="M783">
        <v>345546</v>
      </c>
      <c r="N783">
        <v>51961.52</v>
      </c>
      <c r="O783" t="s">
        <v>31</v>
      </c>
    </row>
    <row r="784" spans="1:15" x14ac:dyDescent="0.25">
      <c r="A784" t="s">
        <v>854</v>
      </c>
      <c r="B784" s="1">
        <v>45830</v>
      </c>
      <c r="C784" t="s">
        <v>36</v>
      </c>
      <c r="D784" t="s">
        <v>50</v>
      </c>
      <c r="E784" t="s">
        <v>51</v>
      </c>
      <c r="F784" t="s">
        <v>72</v>
      </c>
      <c r="G784" t="s">
        <v>28</v>
      </c>
      <c r="H784" t="s">
        <v>21</v>
      </c>
      <c r="I784" t="s">
        <v>45</v>
      </c>
      <c r="J784">
        <v>4</v>
      </c>
      <c r="K784">
        <v>67718</v>
      </c>
      <c r="L784">
        <v>5</v>
      </c>
      <c r="M784">
        <v>257328.4</v>
      </c>
      <c r="N784">
        <v>28226.38</v>
      </c>
      <c r="O784" t="s">
        <v>23</v>
      </c>
    </row>
    <row r="785" spans="1:15" x14ac:dyDescent="0.25">
      <c r="A785" t="s">
        <v>855</v>
      </c>
      <c r="B785" s="1">
        <v>45733</v>
      </c>
      <c r="C785" t="s">
        <v>65</v>
      </c>
      <c r="D785" t="s">
        <v>82</v>
      </c>
      <c r="E785" t="s">
        <v>83</v>
      </c>
      <c r="F785" t="s">
        <v>72</v>
      </c>
      <c r="G785" t="s">
        <v>20</v>
      </c>
      <c r="H785" t="s">
        <v>68</v>
      </c>
      <c r="I785" t="s">
        <v>90</v>
      </c>
      <c r="J785">
        <v>3</v>
      </c>
      <c r="K785">
        <v>77611</v>
      </c>
      <c r="L785">
        <v>5</v>
      </c>
      <c r="M785">
        <v>221191.35</v>
      </c>
      <c r="N785">
        <v>32948.03</v>
      </c>
      <c r="O785" t="s">
        <v>23</v>
      </c>
    </row>
    <row r="786" spans="1:15" x14ac:dyDescent="0.25">
      <c r="A786" t="s">
        <v>856</v>
      </c>
      <c r="B786" s="1">
        <v>45846</v>
      </c>
      <c r="C786" t="s">
        <v>36</v>
      </c>
      <c r="D786" t="s">
        <v>37</v>
      </c>
      <c r="E786" t="s">
        <v>38</v>
      </c>
      <c r="F786" t="s">
        <v>52</v>
      </c>
      <c r="G786" t="s">
        <v>20</v>
      </c>
      <c r="H786" t="s">
        <v>21</v>
      </c>
      <c r="I786" t="s">
        <v>22</v>
      </c>
      <c r="J786">
        <v>2</v>
      </c>
      <c r="K786">
        <v>14986</v>
      </c>
      <c r="L786">
        <v>5</v>
      </c>
      <c r="M786">
        <v>28473.4</v>
      </c>
      <c r="N786">
        <v>4097.07</v>
      </c>
      <c r="O786" t="s">
        <v>42</v>
      </c>
    </row>
    <row r="787" spans="1:15" x14ac:dyDescent="0.25">
      <c r="A787" t="s">
        <v>857</v>
      </c>
      <c r="B787" s="1">
        <v>45852</v>
      </c>
      <c r="C787" t="s">
        <v>16</v>
      </c>
      <c r="D787" t="s">
        <v>17</v>
      </c>
      <c r="E787" t="s">
        <v>18</v>
      </c>
      <c r="F787" t="s">
        <v>63</v>
      </c>
      <c r="G787" t="s">
        <v>20</v>
      </c>
      <c r="H787" t="s">
        <v>40</v>
      </c>
      <c r="I787" t="s">
        <v>59</v>
      </c>
      <c r="J787">
        <v>8</v>
      </c>
      <c r="K787">
        <v>33265</v>
      </c>
      <c r="L787">
        <v>0</v>
      </c>
      <c r="M787">
        <v>266120</v>
      </c>
      <c r="N787">
        <v>50678.52</v>
      </c>
      <c r="O787" t="s">
        <v>23</v>
      </c>
    </row>
    <row r="788" spans="1:15" x14ac:dyDescent="0.25">
      <c r="A788" t="s">
        <v>858</v>
      </c>
      <c r="B788" s="1">
        <v>45994</v>
      </c>
      <c r="C788" t="s">
        <v>25</v>
      </c>
      <c r="D788" t="s">
        <v>26</v>
      </c>
      <c r="E788" t="s">
        <v>27</v>
      </c>
      <c r="F788" t="s">
        <v>63</v>
      </c>
      <c r="G788" t="s">
        <v>28</v>
      </c>
      <c r="H788" t="s">
        <v>21</v>
      </c>
      <c r="I788" t="s">
        <v>56</v>
      </c>
      <c r="J788">
        <v>9</v>
      </c>
      <c r="K788">
        <v>72237</v>
      </c>
      <c r="L788">
        <v>20</v>
      </c>
      <c r="M788">
        <v>520106.4</v>
      </c>
      <c r="N788">
        <v>85920.83</v>
      </c>
      <c r="O788" t="s">
        <v>23</v>
      </c>
    </row>
    <row r="789" spans="1:15" x14ac:dyDescent="0.25">
      <c r="A789" t="s">
        <v>859</v>
      </c>
      <c r="B789" s="1">
        <v>45974</v>
      </c>
      <c r="C789" t="s">
        <v>25</v>
      </c>
      <c r="D789" t="s">
        <v>61</v>
      </c>
      <c r="E789" t="s">
        <v>62</v>
      </c>
      <c r="F789" t="s">
        <v>72</v>
      </c>
      <c r="G789" t="s">
        <v>20</v>
      </c>
      <c r="H789" t="s">
        <v>40</v>
      </c>
      <c r="I789" t="s">
        <v>80</v>
      </c>
      <c r="J789">
        <v>2</v>
      </c>
      <c r="K789">
        <v>53913</v>
      </c>
      <c r="L789">
        <v>20</v>
      </c>
      <c r="M789">
        <v>86260.800000000003</v>
      </c>
      <c r="N789">
        <v>18906.96</v>
      </c>
      <c r="O789" t="s">
        <v>34</v>
      </c>
    </row>
    <row r="790" spans="1:15" x14ac:dyDescent="0.25">
      <c r="A790" t="s">
        <v>860</v>
      </c>
      <c r="B790" s="1">
        <v>45892</v>
      </c>
      <c r="C790" t="s">
        <v>65</v>
      </c>
      <c r="D790" t="s">
        <v>82</v>
      </c>
      <c r="E790" t="s">
        <v>83</v>
      </c>
      <c r="F790" t="s">
        <v>47</v>
      </c>
      <c r="G790" t="s">
        <v>20</v>
      </c>
      <c r="H790" t="s">
        <v>77</v>
      </c>
      <c r="I790" t="s">
        <v>78</v>
      </c>
      <c r="J790">
        <v>6</v>
      </c>
      <c r="K790">
        <v>13093</v>
      </c>
      <c r="L790">
        <v>20</v>
      </c>
      <c r="M790">
        <v>62846.400000000001</v>
      </c>
      <c r="N790">
        <v>7289.31</v>
      </c>
      <c r="O790" t="s">
        <v>34</v>
      </c>
    </row>
    <row r="791" spans="1:15" x14ac:dyDescent="0.25">
      <c r="A791" t="s">
        <v>861</v>
      </c>
      <c r="B791" s="1">
        <v>45965</v>
      </c>
      <c r="C791" t="s">
        <v>36</v>
      </c>
      <c r="D791" t="s">
        <v>37</v>
      </c>
      <c r="E791" t="s">
        <v>38</v>
      </c>
      <c r="F791" t="s">
        <v>19</v>
      </c>
      <c r="G791" t="s">
        <v>28</v>
      </c>
      <c r="H791" t="s">
        <v>29</v>
      </c>
      <c r="I791" t="s">
        <v>30</v>
      </c>
      <c r="J791">
        <v>8</v>
      </c>
      <c r="K791">
        <v>68656</v>
      </c>
      <c r="L791">
        <v>20</v>
      </c>
      <c r="M791">
        <v>439398.40000000002</v>
      </c>
      <c r="N791">
        <v>41797.620000000003</v>
      </c>
      <c r="O791" t="s">
        <v>23</v>
      </c>
    </row>
    <row r="792" spans="1:15" x14ac:dyDescent="0.25">
      <c r="A792" t="s">
        <v>862</v>
      </c>
      <c r="B792" s="1">
        <v>45980</v>
      </c>
      <c r="C792" t="s">
        <v>36</v>
      </c>
      <c r="D792" t="s">
        <v>85</v>
      </c>
      <c r="E792" t="s">
        <v>86</v>
      </c>
      <c r="F792" t="s">
        <v>93</v>
      </c>
      <c r="G792" t="s">
        <v>28</v>
      </c>
      <c r="H792" t="s">
        <v>29</v>
      </c>
      <c r="I792" t="s">
        <v>48</v>
      </c>
      <c r="J792">
        <v>5</v>
      </c>
      <c r="K792">
        <v>14350</v>
      </c>
      <c r="L792">
        <v>20</v>
      </c>
      <c r="M792">
        <v>57400</v>
      </c>
      <c r="N792">
        <v>11196.85</v>
      </c>
      <c r="O792" t="s">
        <v>31</v>
      </c>
    </row>
    <row r="793" spans="1:15" x14ac:dyDescent="0.25">
      <c r="A793" t="s">
        <v>863</v>
      </c>
      <c r="B793" s="1">
        <v>45921</v>
      </c>
      <c r="C793" t="s">
        <v>36</v>
      </c>
      <c r="D793" t="s">
        <v>85</v>
      </c>
      <c r="E793" t="s">
        <v>86</v>
      </c>
      <c r="F793" t="s">
        <v>63</v>
      </c>
      <c r="G793" t="s">
        <v>20</v>
      </c>
      <c r="H793" t="s">
        <v>68</v>
      </c>
      <c r="I793" t="s">
        <v>69</v>
      </c>
      <c r="J793">
        <v>3</v>
      </c>
      <c r="K793">
        <v>62001</v>
      </c>
      <c r="L793">
        <v>0</v>
      </c>
      <c r="M793">
        <v>186003</v>
      </c>
      <c r="N793">
        <v>39596.839999999997</v>
      </c>
      <c r="O793" t="s">
        <v>34</v>
      </c>
    </row>
    <row r="794" spans="1:15" x14ac:dyDescent="0.25">
      <c r="A794" t="s">
        <v>864</v>
      </c>
      <c r="B794" s="1">
        <v>45686</v>
      </c>
      <c r="C794" t="s">
        <v>16</v>
      </c>
      <c r="D794" t="s">
        <v>17</v>
      </c>
      <c r="E794" t="s">
        <v>18</v>
      </c>
      <c r="F794" t="s">
        <v>72</v>
      </c>
      <c r="G794" t="s">
        <v>20</v>
      </c>
      <c r="H794" t="s">
        <v>29</v>
      </c>
      <c r="I794" t="s">
        <v>53</v>
      </c>
      <c r="J794">
        <v>7</v>
      </c>
      <c r="K794">
        <v>47527</v>
      </c>
      <c r="L794">
        <v>5</v>
      </c>
      <c r="M794">
        <v>316054.55</v>
      </c>
      <c r="N794">
        <v>43932.89</v>
      </c>
      <c r="O794" t="s">
        <v>34</v>
      </c>
    </row>
    <row r="795" spans="1:15" x14ac:dyDescent="0.25">
      <c r="A795" t="s">
        <v>865</v>
      </c>
      <c r="B795" s="1">
        <v>45891</v>
      </c>
      <c r="C795" t="s">
        <v>16</v>
      </c>
      <c r="D795" t="s">
        <v>106</v>
      </c>
      <c r="E795" t="s">
        <v>107</v>
      </c>
      <c r="F795" t="s">
        <v>19</v>
      </c>
      <c r="G795" t="s">
        <v>20</v>
      </c>
      <c r="H795" t="s">
        <v>68</v>
      </c>
      <c r="I795" t="s">
        <v>90</v>
      </c>
      <c r="J795">
        <v>1</v>
      </c>
      <c r="K795">
        <v>30178</v>
      </c>
      <c r="L795">
        <v>20</v>
      </c>
      <c r="M795">
        <v>24142.400000000001</v>
      </c>
      <c r="N795">
        <v>4440.28</v>
      </c>
      <c r="O795" t="s">
        <v>42</v>
      </c>
    </row>
    <row r="796" spans="1:15" x14ac:dyDescent="0.25">
      <c r="A796" t="s">
        <v>866</v>
      </c>
      <c r="B796" s="1">
        <v>45732</v>
      </c>
      <c r="C796" t="s">
        <v>25</v>
      </c>
      <c r="D796" t="s">
        <v>26</v>
      </c>
      <c r="E796" t="s">
        <v>27</v>
      </c>
      <c r="F796" t="s">
        <v>52</v>
      </c>
      <c r="G796" t="s">
        <v>28</v>
      </c>
      <c r="H796" t="s">
        <v>40</v>
      </c>
      <c r="I796" t="s">
        <v>41</v>
      </c>
      <c r="J796">
        <v>2</v>
      </c>
      <c r="K796">
        <v>48061</v>
      </c>
      <c r="L796">
        <v>15</v>
      </c>
      <c r="M796">
        <v>81703.7</v>
      </c>
      <c r="N796">
        <v>18470.099999999999</v>
      </c>
      <c r="O796" t="s">
        <v>23</v>
      </c>
    </row>
    <row r="797" spans="1:15" x14ac:dyDescent="0.25">
      <c r="A797" t="s">
        <v>867</v>
      </c>
      <c r="B797" s="1">
        <v>45725</v>
      </c>
      <c r="C797" t="s">
        <v>65</v>
      </c>
      <c r="D797" t="s">
        <v>82</v>
      </c>
      <c r="E797" t="s">
        <v>83</v>
      </c>
      <c r="F797" t="s">
        <v>39</v>
      </c>
      <c r="G797" t="s">
        <v>28</v>
      </c>
      <c r="H797" t="s">
        <v>68</v>
      </c>
      <c r="I797" t="s">
        <v>94</v>
      </c>
      <c r="J797">
        <v>1</v>
      </c>
      <c r="K797">
        <v>31729</v>
      </c>
      <c r="L797">
        <v>10</v>
      </c>
      <c r="M797">
        <v>28556.1</v>
      </c>
      <c r="N797">
        <v>4452.51</v>
      </c>
      <c r="O797" t="s">
        <v>34</v>
      </c>
    </row>
    <row r="798" spans="1:15" x14ac:dyDescent="0.25">
      <c r="A798" t="s">
        <v>868</v>
      </c>
      <c r="B798" s="1">
        <v>45872</v>
      </c>
      <c r="C798" t="s">
        <v>25</v>
      </c>
      <c r="D798" t="s">
        <v>26</v>
      </c>
      <c r="E798" t="s">
        <v>27</v>
      </c>
      <c r="F798" t="s">
        <v>47</v>
      </c>
      <c r="G798" t="s">
        <v>28</v>
      </c>
      <c r="H798" t="s">
        <v>68</v>
      </c>
      <c r="I798" t="s">
        <v>69</v>
      </c>
      <c r="J798">
        <v>2</v>
      </c>
      <c r="K798">
        <v>40357</v>
      </c>
      <c r="L798">
        <v>15</v>
      </c>
      <c r="M798">
        <v>68606.899999999994</v>
      </c>
      <c r="N798">
        <v>14948.17</v>
      </c>
      <c r="O798" t="s">
        <v>34</v>
      </c>
    </row>
    <row r="799" spans="1:15" x14ac:dyDescent="0.25">
      <c r="A799" t="s">
        <v>869</v>
      </c>
      <c r="B799" s="1">
        <v>45900</v>
      </c>
      <c r="C799" t="s">
        <v>16</v>
      </c>
      <c r="D799" t="s">
        <v>44</v>
      </c>
      <c r="E799" t="s">
        <v>44</v>
      </c>
      <c r="F799" t="s">
        <v>39</v>
      </c>
      <c r="G799" t="s">
        <v>20</v>
      </c>
      <c r="H799" t="s">
        <v>29</v>
      </c>
      <c r="I799" t="s">
        <v>30</v>
      </c>
      <c r="J799">
        <v>6</v>
      </c>
      <c r="K799">
        <v>21763</v>
      </c>
      <c r="L799">
        <v>5</v>
      </c>
      <c r="M799">
        <v>124049.1</v>
      </c>
      <c r="N799">
        <v>23689.040000000001</v>
      </c>
      <c r="O799" t="s">
        <v>42</v>
      </c>
    </row>
    <row r="800" spans="1:15" x14ac:dyDescent="0.25">
      <c r="A800" t="s">
        <v>870</v>
      </c>
      <c r="B800" s="1">
        <v>45885</v>
      </c>
      <c r="C800" t="s">
        <v>16</v>
      </c>
      <c r="D800" t="s">
        <v>17</v>
      </c>
      <c r="E800" t="s">
        <v>18</v>
      </c>
      <c r="F800" t="s">
        <v>63</v>
      </c>
      <c r="G800" t="s">
        <v>20</v>
      </c>
      <c r="H800" t="s">
        <v>68</v>
      </c>
      <c r="I800" t="s">
        <v>94</v>
      </c>
      <c r="J800">
        <v>10</v>
      </c>
      <c r="K800">
        <v>13136</v>
      </c>
      <c r="L800">
        <v>20</v>
      </c>
      <c r="M800">
        <v>105088</v>
      </c>
      <c r="N800">
        <v>24174.19</v>
      </c>
      <c r="O800" t="s">
        <v>42</v>
      </c>
    </row>
    <row r="801" spans="1:15" x14ac:dyDescent="0.25">
      <c r="A801" t="s">
        <v>871</v>
      </c>
      <c r="B801" s="1">
        <v>45898</v>
      </c>
      <c r="C801" t="s">
        <v>25</v>
      </c>
      <c r="D801" t="s">
        <v>26</v>
      </c>
      <c r="E801" t="s">
        <v>27</v>
      </c>
      <c r="F801" t="s">
        <v>52</v>
      </c>
      <c r="G801" t="s">
        <v>20</v>
      </c>
      <c r="H801" t="s">
        <v>29</v>
      </c>
      <c r="I801" t="s">
        <v>48</v>
      </c>
      <c r="J801">
        <v>6</v>
      </c>
      <c r="K801">
        <v>58061</v>
      </c>
      <c r="L801">
        <v>15</v>
      </c>
      <c r="M801">
        <v>296111.09999999998</v>
      </c>
      <c r="N801">
        <v>27654.66</v>
      </c>
      <c r="O801" t="s">
        <v>34</v>
      </c>
    </row>
    <row r="802" spans="1:15" x14ac:dyDescent="0.25">
      <c r="A802" t="s">
        <v>872</v>
      </c>
      <c r="B802" s="1">
        <v>45818</v>
      </c>
      <c r="C802" t="s">
        <v>36</v>
      </c>
      <c r="D802" t="s">
        <v>37</v>
      </c>
      <c r="E802" t="s">
        <v>38</v>
      </c>
      <c r="F802" t="s">
        <v>52</v>
      </c>
      <c r="G802" t="s">
        <v>28</v>
      </c>
      <c r="H802" t="s">
        <v>29</v>
      </c>
      <c r="I802" t="s">
        <v>30</v>
      </c>
      <c r="J802">
        <v>5</v>
      </c>
      <c r="K802">
        <v>14216</v>
      </c>
      <c r="L802">
        <v>0</v>
      </c>
      <c r="M802">
        <v>71080</v>
      </c>
      <c r="N802">
        <v>16319.8</v>
      </c>
      <c r="O802" t="s">
        <v>34</v>
      </c>
    </row>
    <row r="803" spans="1:15" x14ac:dyDescent="0.25">
      <c r="A803" t="s">
        <v>873</v>
      </c>
      <c r="B803" s="1">
        <v>45665</v>
      </c>
      <c r="C803" t="s">
        <v>25</v>
      </c>
      <c r="D803" t="s">
        <v>26</v>
      </c>
      <c r="E803" t="s">
        <v>27</v>
      </c>
      <c r="F803" t="s">
        <v>93</v>
      </c>
      <c r="G803" t="s">
        <v>28</v>
      </c>
      <c r="H803" t="s">
        <v>68</v>
      </c>
      <c r="I803" t="s">
        <v>94</v>
      </c>
      <c r="J803">
        <v>4</v>
      </c>
      <c r="K803">
        <v>63226</v>
      </c>
      <c r="L803">
        <v>15</v>
      </c>
      <c r="M803">
        <v>214968.4</v>
      </c>
      <c r="N803">
        <v>17773.3</v>
      </c>
      <c r="O803" t="s">
        <v>34</v>
      </c>
    </row>
    <row r="804" spans="1:15" x14ac:dyDescent="0.25">
      <c r="A804" t="s">
        <v>874</v>
      </c>
      <c r="B804" s="1">
        <v>45661</v>
      </c>
      <c r="C804" t="s">
        <v>36</v>
      </c>
      <c r="D804" t="s">
        <v>50</v>
      </c>
      <c r="E804" t="s">
        <v>51</v>
      </c>
      <c r="F804" t="s">
        <v>72</v>
      </c>
      <c r="G804" t="s">
        <v>28</v>
      </c>
      <c r="H804" t="s">
        <v>68</v>
      </c>
      <c r="I804" t="s">
        <v>94</v>
      </c>
      <c r="J804">
        <v>8</v>
      </c>
      <c r="K804">
        <v>55549</v>
      </c>
      <c r="L804">
        <v>0</v>
      </c>
      <c r="M804">
        <v>444392</v>
      </c>
      <c r="N804">
        <v>105870.23</v>
      </c>
      <c r="O804" t="s">
        <v>42</v>
      </c>
    </row>
    <row r="805" spans="1:15" x14ac:dyDescent="0.25">
      <c r="A805" t="s">
        <v>875</v>
      </c>
      <c r="B805" s="1">
        <v>45803</v>
      </c>
      <c r="C805" t="s">
        <v>36</v>
      </c>
      <c r="D805" t="s">
        <v>85</v>
      </c>
      <c r="E805" t="s">
        <v>86</v>
      </c>
      <c r="F805" t="s">
        <v>63</v>
      </c>
      <c r="G805" t="s">
        <v>28</v>
      </c>
      <c r="H805" t="s">
        <v>40</v>
      </c>
      <c r="I805" t="s">
        <v>59</v>
      </c>
      <c r="J805">
        <v>6</v>
      </c>
      <c r="K805">
        <v>77754</v>
      </c>
      <c r="L805">
        <v>15</v>
      </c>
      <c r="M805">
        <v>396545.4</v>
      </c>
      <c r="N805">
        <v>46991.39</v>
      </c>
      <c r="O805" t="s">
        <v>34</v>
      </c>
    </row>
    <row r="806" spans="1:15" x14ac:dyDescent="0.25">
      <c r="A806" t="s">
        <v>876</v>
      </c>
      <c r="B806" s="1">
        <v>45957</v>
      </c>
      <c r="C806" t="s">
        <v>36</v>
      </c>
      <c r="D806" t="s">
        <v>50</v>
      </c>
      <c r="E806" t="s">
        <v>51</v>
      </c>
      <c r="F806" t="s">
        <v>47</v>
      </c>
      <c r="G806" t="s">
        <v>28</v>
      </c>
      <c r="H806" t="s">
        <v>29</v>
      </c>
      <c r="I806" t="s">
        <v>30</v>
      </c>
      <c r="J806">
        <v>3</v>
      </c>
      <c r="K806">
        <v>42210</v>
      </c>
      <c r="L806">
        <v>0</v>
      </c>
      <c r="M806">
        <v>126630</v>
      </c>
      <c r="N806">
        <v>15577.11</v>
      </c>
      <c r="O806" t="s">
        <v>42</v>
      </c>
    </row>
    <row r="807" spans="1:15" x14ac:dyDescent="0.25">
      <c r="A807" t="s">
        <v>877</v>
      </c>
      <c r="B807" s="1">
        <v>45821</v>
      </c>
      <c r="C807" t="s">
        <v>65</v>
      </c>
      <c r="D807" t="s">
        <v>82</v>
      </c>
      <c r="E807" t="s">
        <v>83</v>
      </c>
      <c r="F807" t="s">
        <v>63</v>
      </c>
      <c r="G807" t="s">
        <v>20</v>
      </c>
      <c r="H807" t="s">
        <v>77</v>
      </c>
      <c r="I807" t="s">
        <v>78</v>
      </c>
      <c r="J807">
        <v>9</v>
      </c>
      <c r="K807">
        <v>8164</v>
      </c>
      <c r="L807">
        <v>10</v>
      </c>
      <c r="M807">
        <v>66128.399999999994</v>
      </c>
      <c r="N807">
        <v>13408.48</v>
      </c>
      <c r="O807" t="s">
        <v>42</v>
      </c>
    </row>
    <row r="808" spans="1:15" x14ac:dyDescent="0.25">
      <c r="A808" t="s">
        <v>878</v>
      </c>
      <c r="B808" s="1">
        <v>45868</v>
      </c>
      <c r="C808" t="s">
        <v>65</v>
      </c>
      <c r="D808" t="s">
        <v>66</v>
      </c>
      <c r="E808" t="s">
        <v>67</v>
      </c>
      <c r="F808" t="s">
        <v>33</v>
      </c>
      <c r="G808" t="s">
        <v>20</v>
      </c>
      <c r="H808" t="s">
        <v>77</v>
      </c>
      <c r="I808" t="s">
        <v>100</v>
      </c>
      <c r="J808">
        <v>4</v>
      </c>
      <c r="K808">
        <v>66722</v>
      </c>
      <c r="L808">
        <v>0</v>
      </c>
      <c r="M808">
        <v>266888</v>
      </c>
      <c r="N808">
        <v>64490.85</v>
      </c>
      <c r="O808" t="s">
        <v>42</v>
      </c>
    </row>
    <row r="809" spans="1:15" x14ac:dyDescent="0.25">
      <c r="A809" t="s">
        <v>879</v>
      </c>
      <c r="B809" s="1">
        <v>45989</v>
      </c>
      <c r="C809" t="s">
        <v>36</v>
      </c>
      <c r="D809" t="s">
        <v>50</v>
      </c>
      <c r="E809" t="s">
        <v>51</v>
      </c>
      <c r="F809" t="s">
        <v>33</v>
      </c>
      <c r="G809" t="s">
        <v>28</v>
      </c>
      <c r="H809" t="s">
        <v>77</v>
      </c>
      <c r="I809" t="s">
        <v>88</v>
      </c>
      <c r="J809">
        <v>5</v>
      </c>
      <c r="K809">
        <v>39905</v>
      </c>
      <c r="L809">
        <v>0</v>
      </c>
      <c r="M809">
        <v>199525</v>
      </c>
      <c r="N809">
        <v>34312.410000000003</v>
      </c>
      <c r="O809" t="s">
        <v>34</v>
      </c>
    </row>
    <row r="810" spans="1:15" x14ac:dyDescent="0.25">
      <c r="A810" t="s">
        <v>880</v>
      </c>
      <c r="B810" s="1">
        <v>45913</v>
      </c>
      <c r="C810" t="s">
        <v>65</v>
      </c>
      <c r="D810" t="s">
        <v>66</v>
      </c>
      <c r="E810" t="s">
        <v>67</v>
      </c>
      <c r="F810" t="s">
        <v>47</v>
      </c>
      <c r="G810" t="s">
        <v>20</v>
      </c>
      <c r="H810" t="s">
        <v>40</v>
      </c>
      <c r="I810" t="s">
        <v>80</v>
      </c>
      <c r="J810">
        <v>4</v>
      </c>
      <c r="K810">
        <v>56865</v>
      </c>
      <c r="L810">
        <v>20</v>
      </c>
      <c r="M810">
        <v>181968</v>
      </c>
      <c r="N810">
        <v>28192.71</v>
      </c>
      <c r="O810" t="s">
        <v>34</v>
      </c>
    </row>
    <row r="811" spans="1:15" x14ac:dyDescent="0.25">
      <c r="A811" t="s">
        <v>881</v>
      </c>
      <c r="B811" s="1">
        <v>45700</v>
      </c>
      <c r="C811" t="s">
        <v>16</v>
      </c>
      <c r="D811" t="s">
        <v>17</v>
      </c>
      <c r="E811" t="s">
        <v>18</v>
      </c>
      <c r="F811" t="s">
        <v>72</v>
      </c>
      <c r="G811" t="s">
        <v>20</v>
      </c>
      <c r="H811" t="s">
        <v>40</v>
      </c>
      <c r="I811" t="s">
        <v>80</v>
      </c>
      <c r="J811">
        <v>1</v>
      </c>
      <c r="K811">
        <v>9926</v>
      </c>
      <c r="L811">
        <v>20</v>
      </c>
      <c r="M811">
        <v>7940.8</v>
      </c>
      <c r="N811">
        <v>650.86</v>
      </c>
      <c r="O811" t="s">
        <v>23</v>
      </c>
    </row>
    <row r="812" spans="1:15" x14ac:dyDescent="0.25">
      <c r="A812" t="s">
        <v>882</v>
      </c>
      <c r="B812" s="1">
        <v>45699</v>
      </c>
      <c r="C812" t="s">
        <v>36</v>
      </c>
      <c r="D812" t="s">
        <v>50</v>
      </c>
      <c r="E812" t="s">
        <v>51</v>
      </c>
      <c r="F812" t="s">
        <v>47</v>
      </c>
      <c r="G812" t="s">
        <v>20</v>
      </c>
      <c r="H812" t="s">
        <v>21</v>
      </c>
      <c r="I812" t="s">
        <v>45</v>
      </c>
      <c r="J812">
        <v>2</v>
      </c>
      <c r="K812">
        <v>74798</v>
      </c>
      <c r="L812">
        <v>0</v>
      </c>
      <c r="M812">
        <v>149596</v>
      </c>
      <c r="N812">
        <v>28535.279999999999</v>
      </c>
      <c r="O812" t="s">
        <v>34</v>
      </c>
    </row>
    <row r="813" spans="1:15" x14ac:dyDescent="0.25">
      <c r="A813" t="s">
        <v>883</v>
      </c>
      <c r="B813" s="1">
        <v>45748</v>
      </c>
      <c r="C813" t="s">
        <v>16</v>
      </c>
      <c r="D813" t="s">
        <v>17</v>
      </c>
      <c r="E813" t="s">
        <v>18</v>
      </c>
      <c r="F813" t="s">
        <v>72</v>
      </c>
      <c r="G813" t="s">
        <v>20</v>
      </c>
      <c r="H813" t="s">
        <v>21</v>
      </c>
      <c r="I813" t="s">
        <v>22</v>
      </c>
      <c r="J813">
        <v>5</v>
      </c>
      <c r="K813">
        <v>56960</v>
      </c>
      <c r="L813">
        <v>15</v>
      </c>
      <c r="M813">
        <v>242080</v>
      </c>
      <c r="N813">
        <v>46786.67</v>
      </c>
      <c r="O813" t="s">
        <v>23</v>
      </c>
    </row>
    <row r="814" spans="1:15" x14ac:dyDescent="0.25">
      <c r="A814" t="s">
        <v>884</v>
      </c>
      <c r="B814" s="1">
        <v>45664</v>
      </c>
      <c r="C814" t="s">
        <v>65</v>
      </c>
      <c r="D814" t="s">
        <v>82</v>
      </c>
      <c r="E814" t="s">
        <v>83</v>
      </c>
      <c r="F814" t="s">
        <v>63</v>
      </c>
      <c r="G814" t="s">
        <v>28</v>
      </c>
      <c r="H814" t="s">
        <v>40</v>
      </c>
      <c r="I814" t="s">
        <v>80</v>
      </c>
      <c r="J814">
        <v>2</v>
      </c>
      <c r="K814">
        <v>43424</v>
      </c>
      <c r="L814">
        <v>20</v>
      </c>
      <c r="M814">
        <v>69478.399999999994</v>
      </c>
      <c r="N814">
        <v>7801.23</v>
      </c>
      <c r="O814" t="s">
        <v>34</v>
      </c>
    </row>
    <row r="815" spans="1:15" x14ac:dyDescent="0.25">
      <c r="A815" t="s">
        <v>885</v>
      </c>
      <c r="B815" s="1">
        <v>45670</v>
      </c>
      <c r="C815" t="s">
        <v>25</v>
      </c>
      <c r="D815" t="s">
        <v>26</v>
      </c>
      <c r="E815" t="s">
        <v>27</v>
      </c>
      <c r="F815" t="s">
        <v>19</v>
      </c>
      <c r="G815" t="s">
        <v>28</v>
      </c>
      <c r="H815" t="s">
        <v>77</v>
      </c>
      <c r="I815" t="s">
        <v>88</v>
      </c>
      <c r="J815">
        <v>6</v>
      </c>
      <c r="K815">
        <v>49716</v>
      </c>
      <c r="L815">
        <v>10</v>
      </c>
      <c r="M815">
        <v>268466.40000000002</v>
      </c>
      <c r="N815">
        <v>54714.33</v>
      </c>
      <c r="O815" t="s">
        <v>34</v>
      </c>
    </row>
    <row r="816" spans="1:15" x14ac:dyDescent="0.25">
      <c r="A816" t="s">
        <v>886</v>
      </c>
      <c r="B816" s="1">
        <v>45928</v>
      </c>
      <c r="C816" t="s">
        <v>25</v>
      </c>
      <c r="D816" t="s">
        <v>26</v>
      </c>
      <c r="E816" t="s">
        <v>27</v>
      </c>
      <c r="F816" t="s">
        <v>63</v>
      </c>
      <c r="G816" t="s">
        <v>28</v>
      </c>
      <c r="H816" t="s">
        <v>40</v>
      </c>
      <c r="I816" t="s">
        <v>80</v>
      </c>
      <c r="J816">
        <v>6</v>
      </c>
      <c r="K816">
        <v>8937</v>
      </c>
      <c r="L816">
        <v>5</v>
      </c>
      <c r="M816">
        <v>50940.9</v>
      </c>
      <c r="N816">
        <v>9875.27</v>
      </c>
      <c r="O816" t="s">
        <v>23</v>
      </c>
    </row>
    <row r="817" spans="1:15" x14ac:dyDescent="0.25">
      <c r="A817" t="s">
        <v>887</v>
      </c>
      <c r="B817" s="1">
        <v>45826</v>
      </c>
      <c r="C817" t="s">
        <v>65</v>
      </c>
      <c r="D817" t="s">
        <v>82</v>
      </c>
      <c r="E817" t="s">
        <v>83</v>
      </c>
      <c r="F817" t="s">
        <v>63</v>
      </c>
      <c r="G817" t="s">
        <v>28</v>
      </c>
      <c r="H817" t="s">
        <v>21</v>
      </c>
      <c r="I817" t="s">
        <v>22</v>
      </c>
      <c r="J817">
        <v>2</v>
      </c>
      <c r="K817">
        <v>66374</v>
      </c>
      <c r="L817">
        <v>5</v>
      </c>
      <c r="M817">
        <v>126110.6</v>
      </c>
      <c r="N817">
        <v>20588.48</v>
      </c>
      <c r="O817" t="s">
        <v>34</v>
      </c>
    </row>
    <row r="818" spans="1:15" x14ac:dyDescent="0.25">
      <c r="A818" t="s">
        <v>888</v>
      </c>
      <c r="B818" s="1">
        <v>45740</v>
      </c>
      <c r="C818" t="s">
        <v>65</v>
      </c>
      <c r="D818" t="s">
        <v>66</v>
      </c>
      <c r="E818" t="s">
        <v>67</v>
      </c>
      <c r="F818" t="s">
        <v>47</v>
      </c>
      <c r="G818" t="s">
        <v>20</v>
      </c>
      <c r="H818" t="s">
        <v>77</v>
      </c>
      <c r="I818" t="s">
        <v>100</v>
      </c>
      <c r="J818">
        <v>10</v>
      </c>
      <c r="K818">
        <v>62463</v>
      </c>
      <c r="L818">
        <v>15</v>
      </c>
      <c r="M818">
        <v>530935.5</v>
      </c>
      <c r="N818">
        <v>78423.34</v>
      </c>
      <c r="O818" t="s">
        <v>31</v>
      </c>
    </row>
    <row r="819" spans="1:15" x14ac:dyDescent="0.25">
      <c r="A819" t="s">
        <v>889</v>
      </c>
      <c r="B819" s="1">
        <v>45794</v>
      </c>
      <c r="C819" t="s">
        <v>36</v>
      </c>
      <c r="D819" t="s">
        <v>50</v>
      </c>
      <c r="E819" t="s">
        <v>51</v>
      </c>
      <c r="F819" t="s">
        <v>93</v>
      </c>
      <c r="G819" t="s">
        <v>20</v>
      </c>
      <c r="H819" t="s">
        <v>21</v>
      </c>
      <c r="I819" t="s">
        <v>22</v>
      </c>
      <c r="J819">
        <v>10</v>
      </c>
      <c r="K819">
        <v>10564</v>
      </c>
      <c r="L819">
        <v>10</v>
      </c>
      <c r="M819">
        <v>95076</v>
      </c>
      <c r="N819">
        <v>14859.18</v>
      </c>
      <c r="O819" t="s">
        <v>42</v>
      </c>
    </row>
    <row r="820" spans="1:15" x14ac:dyDescent="0.25">
      <c r="A820" t="s">
        <v>890</v>
      </c>
      <c r="B820" s="1">
        <v>45848</v>
      </c>
      <c r="C820" t="s">
        <v>36</v>
      </c>
      <c r="D820" t="s">
        <v>50</v>
      </c>
      <c r="E820" t="s">
        <v>51</v>
      </c>
      <c r="F820" t="s">
        <v>33</v>
      </c>
      <c r="G820" t="s">
        <v>28</v>
      </c>
      <c r="H820" t="s">
        <v>68</v>
      </c>
      <c r="I820" t="s">
        <v>94</v>
      </c>
      <c r="J820">
        <v>5</v>
      </c>
      <c r="K820">
        <v>45946</v>
      </c>
      <c r="L820">
        <v>5</v>
      </c>
      <c r="M820">
        <v>218243.5</v>
      </c>
      <c r="N820">
        <v>46526.44</v>
      </c>
      <c r="O820" t="s">
        <v>31</v>
      </c>
    </row>
    <row r="821" spans="1:15" x14ac:dyDescent="0.25">
      <c r="A821" t="s">
        <v>891</v>
      </c>
      <c r="B821" s="1">
        <v>46003</v>
      </c>
      <c r="C821" t="s">
        <v>65</v>
      </c>
      <c r="D821" t="s">
        <v>66</v>
      </c>
      <c r="E821" t="s">
        <v>67</v>
      </c>
      <c r="F821" t="s">
        <v>19</v>
      </c>
      <c r="G821" t="s">
        <v>28</v>
      </c>
      <c r="H821" t="s">
        <v>40</v>
      </c>
      <c r="I821" t="s">
        <v>59</v>
      </c>
      <c r="J821">
        <v>2</v>
      </c>
      <c r="K821">
        <v>32552</v>
      </c>
      <c r="L821">
        <v>15</v>
      </c>
      <c r="M821">
        <v>55338.400000000001</v>
      </c>
      <c r="N821">
        <v>6804.27</v>
      </c>
      <c r="O821" t="s">
        <v>42</v>
      </c>
    </row>
    <row r="822" spans="1:15" x14ac:dyDescent="0.25">
      <c r="A822" t="s">
        <v>892</v>
      </c>
      <c r="B822" s="1">
        <v>45874</v>
      </c>
      <c r="C822" t="s">
        <v>65</v>
      </c>
      <c r="D822" t="s">
        <v>66</v>
      </c>
      <c r="E822" t="s">
        <v>67</v>
      </c>
      <c r="F822" t="s">
        <v>93</v>
      </c>
      <c r="G822" t="s">
        <v>20</v>
      </c>
      <c r="H822" t="s">
        <v>21</v>
      </c>
      <c r="I822" t="s">
        <v>56</v>
      </c>
      <c r="J822">
        <v>6</v>
      </c>
      <c r="K822">
        <v>38196</v>
      </c>
      <c r="L822">
        <v>0</v>
      </c>
      <c r="M822">
        <v>229176</v>
      </c>
      <c r="N822">
        <v>45610.12</v>
      </c>
      <c r="O822" t="s">
        <v>34</v>
      </c>
    </row>
    <row r="823" spans="1:15" x14ac:dyDescent="0.25">
      <c r="A823" t="s">
        <v>893</v>
      </c>
      <c r="B823" s="1">
        <v>45712</v>
      </c>
      <c r="C823" t="s">
        <v>65</v>
      </c>
      <c r="D823" t="s">
        <v>82</v>
      </c>
      <c r="E823" t="s">
        <v>83</v>
      </c>
      <c r="F823" t="s">
        <v>33</v>
      </c>
      <c r="G823" t="s">
        <v>20</v>
      </c>
      <c r="H823" t="s">
        <v>29</v>
      </c>
      <c r="I823" t="s">
        <v>48</v>
      </c>
      <c r="J823">
        <v>5</v>
      </c>
      <c r="K823">
        <v>3178</v>
      </c>
      <c r="L823">
        <v>10</v>
      </c>
      <c r="M823">
        <v>14301</v>
      </c>
      <c r="N823">
        <v>1702.27</v>
      </c>
      <c r="O823" t="s">
        <v>31</v>
      </c>
    </row>
    <row r="824" spans="1:15" x14ac:dyDescent="0.25">
      <c r="A824" t="s">
        <v>894</v>
      </c>
      <c r="B824" s="1">
        <v>45670</v>
      </c>
      <c r="C824" t="s">
        <v>16</v>
      </c>
      <c r="D824" t="s">
        <v>17</v>
      </c>
      <c r="E824" t="s">
        <v>18</v>
      </c>
      <c r="F824" t="s">
        <v>93</v>
      </c>
      <c r="G824" t="s">
        <v>28</v>
      </c>
      <c r="H824" t="s">
        <v>29</v>
      </c>
      <c r="I824" t="s">
        <v>48</v>
      </c>
      <c r="J824">
        <v>9</v>
      </c>
      <c r="K824">
        <v>40941</v>
      </c>
      <c r="L824">
        <v>15</v>
      </c>
      <c r="M824">
        <v>313198.65000000002</v>
      </c>
      <c r="N824">
        <v>34503.85</v>
      </c>
      <c r="O824" t="s">
        <v>34</v>
      </c>
    </row>
    <row r="825" spans="1:15" x14ac:dyDescent="0.25">
      <c r="A825" t="s">
        <v>895</v>
      </c>
      <c r="B825" s="1">
        <v>45807</v>
      </c>
      <c r="C825" t="s">
        <v>16</v>
      </c>
      <c r="D825" t="s">
        <v>106</v>
      </c>
      <c r="E825" t="s">
        <v>107</v>
      </c>
      <c r="F825" t="s">
        <v>19</v>
      </c>
      <c r="G825" t="s">
        <v>20</v>
      </c>
      <c r="H825" t="s">
        <v>29</v>
      </c>
      <c r="I825" t="s">
        <v>48</v>
      </c>
      <c r="J825">
        <v>6</v>
      </c>
      <c r="K825">
        <v>64376</v>
      </c>
      <c r="L825">
        <v>0</v>
      </c>
      <c r="M825">
        <v>386256</v>
      </c>
      <c r="N825">
        <v>43200.45</v>
      </c>
      <c r="O825" t="s">
        <v>34</v>
      </c>
    </row>
    <row r="826" spans="1:15" x14ac:dyDescent="0.25">
      <c r="A826" t="s">
        <v>896</v>
      </c>
      <c r="B826" s="1">
        <v>45780</v>
      </c>
      <c r="C826" t="s">
        <v>16</v>
      </c>
      <c r="D826" t="s">
        <v>106</v>
      </c>
      <c r="E826" t="s">
        <v>107</v>
      </c>
      <c r="F826" t="s">
        <v>72</v>
      </c>
      <c r="G826" t="s">
        <v>20</v>
      </c>
      <c r="H826" t="s">
        <v>21</v>
      </c>
      <c r="I826" t="s">
        <v>22</v>
      </c>
      <c r="J826">
        <v>4</v>
      </c>
      <c r="K826">
        <v>23075</v>
      </c>
      <c r="L826">
        <v>15</v>
      </c>
      <c r="M826">
        <v>78455</v>
      </c>
      <c r="N826">
        <v>10512.15</v>
      </c>
      <c r="O826" t="s">
        <v>42</v>
      </c>
    </row>
    <row r="827" spans="1:15" x14ac:dyDescent="0.25">
      <c r="A827" t="s">
        <v>897</v>
      </c>
      <c r="B827" s="1">
        <v>45981</v>
      </c>
      <c r="C827" t="s">
        <v>25</v>
      </c>
      <c r="D827" t="s">
        <v>26</v>
      </c>
      <c r="E827" t="s">
        <v>27</v>
      </c>
      <c r="F827" t="s">
        <v>63</v>
      </c>
      <c r="G827" t="s">
        <v>28</v>
      </c>
      <c r="H827" t="s">
        <v>40</v>
      </c>
      <c r="I827" t="s">
        <v>80</v>
      </c>
      <c r="J827">
        <v>6</v>
      </c>
      <c r="K827">
        <v>28316</v>
      </c>
      <c r="L827">
        <v>5</v>
      </c>
      <c r="M827">
        <v>161401.20000000001</v>
      </c>
      <c r="N827">
        <v>36011.980000000003</v>
      </c>
      <c r="O827" t="s">
        <v>42</v>
      </c>
    </row>
    <row r="828" spans="1:15" x14ac:dyDescent="0.25">
      <c r="A828" t="s">
        <v>898</v>
      </c>
      <c r="B828" s="1">
        <v>45835</v>
      </c>
      <c r="C828" t="s">
        <v>36</v>
      </c>
      <c r="D828" t="s">
        <v>37</v>
      </c>
      <c r="E828" t="s">
        <v>38</v>
      </c>
      <c r="F828" t="s">
        <v>39</v>
      </c>
      <c r="G828" t="s">
        <v>28</v>
      </c>
      <c r="H828" t="s">
        <v>77</v>
      </c>
      <c r="I828" t="s">
        <v>78</v>
      </c>
      <c r="J828">
        <v>4</v>
      </c>
      <c r="K828">
        <v>3578</v>
      </c>
      <c r="L828">
        <v>5</v>
      </c>
      <c r="M828">
        <v>13596.4</v>
      </c>
      <c r="N828">
        <v>2906.27</v>
      </c>
      <c r="O828" t="s">
        <v>23</v>
      </c>
    </row>
    <row r="829" spans="1:15" x14ac:dyDescent="0.25">
      <c r="A829" t="s">
        <v>899</v>
      </c>
      <c r="B829" s="1">
        <v>45740</v>
      </c>
      <c r="C829" t="s">
        <v>25</v>
      </c>
      <c r="D829" t="s">
        <v>61</v>
      </c>
      <c r="E829" t="s">
        <v>62</v>
      </c>
      <c r="F829" t="s">
        <v>52</v>
      </c>
      <c r="G829" t="s">
        <v>20</v>
      </c>
      <c r="H829" t="s">
        <v>29</v>
      </c>
      <c r="I829" t="s">
        <v>53</v>
      </c>
      <c r="J829">
        <v>10</v>
      </c>
      <c r="K829">
        <v>15336</v>
      </c>
      <c r="L829">
        <v>5</v>
      </c>
      <c r="M829">
        <v>145692</v>
      </c>
      <c r="N829">
        <v>32546.17</v>
      </c>
      <c r="O829" t="s">
        <v>42</v>
      </c>
    </row>
    <row r="830" spans="1:15" x14ac:dyDescent="0.25">
      <c r="A830" t="s">
        <v>900</v>
      </c>
      <c r="B830" s="1">
        <v>45763</v>
      </c>
      <c r="C830" t="s">
        <v>36</v>
      </c>
      <c r="D830" t="s">
        <v>85</v>
      </c>
      <c r="E830" t="s">
        <v>86</v>
      </c>
      <c r="F830" t="s">
        <v>52</v>
      </c>
      <c r="G830" t="s">
        <v>20</v>
      </c>
      <c r="H830" t="s">
        <v>68</v>
      </c>
      <c r="I830" t="s">
        <v>94</v>
      </c>
      <c r="J830">
        <v>7</v>
      </c>
      <c r="K830">
        <v>487</v>
      </c>
      <c r="L830">
        <v>20</v>
      </c>
      <c r="M830">
        <v>2727.2</v>
      </c>
      <c r="N830">
        <v>225.06</v>
      </c>
      <c r="O830" t="s">
        <v>31</v>
      </c>
    </row>
    <row r="831" spans="1:15" x14ac:dyDescent="0.25">
      <c r="A831" t="s">
        <v>901</v>
      </c>
      <c r="B831" s="1">
        <v>45801</v>
      </c>
      <c r="C831" t="s">
        <v>65</v>
      </c>
      <c r="D831" t="s">
        <v>66</v>
      </c>
      <c r="E831" t="s">
        <v>67</v>
      </c>
      <c r="F831" t="s">
        <v>19</v>
      </c>
      <c r="G831" t="s">
        <v>28</v>
      </c>
      <c r="H831" t="s">
        <v>68</v>
      </c>
      <c r="I831" t="s">
        <v>90</v>
      </c>
      <c r="J831">
        <v>9</v>
      </c>
      <c r="K831">
        <v>36817</v>
      </c>
      <c r="L831">
        <v>5</v>
      </c>
      <c r="M831">
        <v>314785.34999999998</v>
      </c>
      <c r="N831">
        <v>52890.85</v>
      </c>
      <c r="O831" t="s">
        <v>23</v>
      </c>
    </row>
    <row r="832" spans="1:15" x14ac:dyDescent="0.25">
      <c r="A832" t="s">
        <v>902</v>
      </c>
      <c r="B832" s="1">
        <v>45810</v>
      </c>
      <c r="C832" t="s">
        <v>25</v>
      </c>
      <c r="D832" t="s">
        <v>26</v>
      </c>
      <c r="E832" t="s">
        <v>27</v>
      </c>
      <c r="F832" t="s">
        <v>52</v>
      </c>
      <c r="G832" t="s">
        <v>28</v>
      </c>
      <c r="H832" t="s">
        <v>77</v>
      </c>
      <c r="I832" t="s">
        <v>78</v>
      </c>
      <c r="J832">
        <v>7</v>
      </c>
      <c r="K832">
        <v>48948</v>
      </c>
      <c r="L832">
        <v>0</v>
      </c>
      <c r="M832">
        <v>342636</v>
      </c>
      <c r="N832">
        <v>85416.59</v>
      </c>
      <c r="O832" t="s">
        <v>34</v>
      </c>
    </row>
    <row r="833" spans="1:15" x14ac:dyDescent="0.25">
      <c r="A833" t="s">
        <v>903</v>
      </c>
      <c r="B833" s="1">
        <v>45832</v>
      </c>
      <c r="C833" t="s">
        <v>25</v>
      </c>
      <c r="D833" t="s">
        <v>61</v>
      </c>
      <c r="E833" t="s">
        <v>62</v>
      </c>
      <c r="F833" t="s">
        <v>33</v>
      </c>
      <c r="G833" t="s">
        <v>20</v>
      </c>
      <c r="H833" t="s">
        <v>21</v>
      </c>
      <c r="I833" t="s">
        <v>22</v>
      </c>
      <c r="J833">
        <v>1</v>
      </c>
      <c r="K833">
        <v>17677</v>
      </c>
      <c r="L833">
        <v>0</v>
      </c>
      <c r="M833">
        <v>17677</v>
      </c>
      <c r="N833">
        <v>2261.37</v>
      </c>
      <c r="O833" t="s">
        <v>42</v>
      </c>
    </row>
    <row r="834" spans="1:15" x14ac:dyDescent="0.25">
      <c r="A834" t="s">
        <v>904</v>
      </c>
      <c r="B834" s="1">
        <v>45760</v>
      </c>
      <c r="C834" t="s">
        <v>16</v>
      </c>
      <c r="D834" t="s">
        <v>17</v>
      </c>
      <c r="E834" t="s">
        <v>18</v>
      </c>
      <c r="F834" t="s">
        <v>63</v>
      </c>
      <c r="G834" t="s">
        <v>28</v>
      </c>
      <c r="H834" t="s">
        <v>77</v>
      </c>
      <c r="I834" t="s">
        <v>88</v>
      </c>
      <c r="J834">
        <v>10</v>
      </c>
      <c r="K834">
        <v>16825</v>
      </c>
      <c r="L834">
        <v>15</v>
      </c>
      <c r="M834">
        <v>143012.5</v>
      </c>
      <c r="N834">
        <v>14560.33</v>
      </c>
      <c r="O834" t="s">
        <v>34</v>
      </c>
    </row>
    <row r="835" spans="1:15" x14ac:dyDescent="0.25">
      <c r="A835" t="s">
        <v>905</v>
      </c>
      <c r="B835" s="1">
        <v>45731</v>
      </c>
      <c r="C835" t="s">
        <v>65</v>
      </c>
      <c r="D835" t="s">
        <v>66</v>
      </c>
      <c r="E835" t="s">
        <v>67</v>
      </c>
      <c r="F835" t="s">
        <v>47</v>
      </c>
      <c r="G835" t="s">
        <v>20</v>
      </c>
      <c r="H835" t="s">
        <v>29</v>
      </c>
      <c r="I835" t="s">
        <v>53</v>
      </c>
      <c r="J835">
        <v>5</v>
      </c>
      <c r="K835">
        <v>4314</v>
      </c>
      <c r="L835">
        <v>0</v>
      </c>
      <c r="M835">
        <v>21570</v>
      </c>
      <c r="N835">
        <v>3142.31</v>
      </c>
      <c r="O835" t="s">
        <v>31</v>
      </c>
    </row>
    <row r="836" spans="1:15" x14ac:dyDescent="0.25">
      <c r="A836" t="s">
        <v>906</v>
      </c>
      <c r="B836" s="1">
        <v>45718</v>
      </c>
      <c r="C836" t="s">
        <v>36</v>
      </c>
      <c r="D836" t="s">
        <v>85</v>
      </c>
      <c r="E836" t="s">
        <v>86</v>
      </c>
      <c r="F836" t="s">
        <v>47</v>
      </c>
      <c r="G836" t="s">
        <v>28</v>
      </c>
      <c r="H836" t="s">
        <v>77</v>
      </c>
      <c r="I836" t="s">
        <v>100</v>
      </c>
      <c r="J836">
        <v>6</v>
      </c>
      <c r="K836">
        <v>41970</v>
      </c>
      <c r="L836">
        <v>20</v>
      </c>
      <c r="M836">
        <v>201456</v>
      </c>
      <c r="N836">
        <v>39522.94</v>
      </c>
      <c r="O836" t="s">
        <v>34</v>
      </c>
    </row>
    <row r="837" spans="1:15" x14ac:dyDescent="0.25">
      <c r="A837" t="s">
        <v>907</v>
      </c>
      <c r="B837" s="1">
        <v>45659</v>
      </c>
      <c r="C837" t="s">
        <v>36</v>
      </c>
      <c r="D837" t="s">
        <v>50</v>
      </c>
      <c r="E837" t="s">
        <v>51</v>
      </c>
      <c r="F837" t="s">
        <v>63</v>
      </c>
      <c r="G837" t="s">
        <v>28</v>
      </c>
      <c r="H837" t="s">
        <v>21</v>
      </c>
      <c r="I837" t="s">
        <v>22</v>
      </c>
      <c r="J837">
        <v>6</v>
      </c>
      <c r="K837">
        <v>28043</v>
      </c>
      <c r="L837">
        <v>15</v>
      </c>
      <c r="M837">
        <v>143019.29999999999</v>
      </c>
      <c r="N837">
        <v>24938.51</v>
      </c>
      <c r="O837" t="s">
        <v>42</v>
      </c>
    </row>
    <row r="838" spans="1:15" x14ac:dyDescent="0.25">
      <c r="A838" t="s">
        <v>908</v>
      </c>
      <c r="B838" s="1">
        <v>45740</v>
      </c>
      <c r="C838" t="s">
        <v>36</v>
      </c>
      <c r="D838" t="s">
        <v>50</v>
      </c>
      <c r="E838" t="s">
        <v>51</v>
      </c>
      <c r="F838" t="s">
        <v>93</v>
      </c>
      <c r="G838" t="s">
        <v>28</v>
      </c>
      <c r="H838" t="s">
        <v>77</v>
      </c>
      <c r="I838" t="s">
        <v>78</v>
      </c>
      <c r="J838">
        <v>10</v>
      </c>
      <c r="K838">
        <v>28203</v>
      </c>
      <c r="L838">
        <v>5</v>
      </c>
      <c r="M838">
        <v>267928.5</v>
      </c>
      <c r="N838">
        <v>46591.23</v>
      </c>
      <c r="O838" t="s">
        <v>42</v>
      </c>
    </row>
    <row r="839" spans="1:15" x14ac:dyDescent="0.25">
      <c r="A839" t="s">
        <v>909</v>
      </c>
      <c r="B839" s="1">
        <v>45932</v>
      </c>
      <c r="C839" t="s">
        <v>16</v>
      </c>
      <c r="D839" t="s">
        <v>106</v>
      </c>
      <c r="E839" t="s">
        <v>107</v>
      </c>
      <c r="F839" t="s">
        <v>33</v>
      </c>
      <c r="G839" t="s">
        <v>28</v>
      </c>
      <c r="H839" t="s">
        <v>21</v>
      </c>
      <c r="I839" t="s">
        <v>22</v>
      </c>
      <c r="J839">
        <v>5</v>
      </c>
      <c r="K839">
        <v>63448</v>
      </c>
      <c r="L839">
        <v>15</v>
      </c>
      <c r="M839">
        <v>269654</v>
      </c>
      <c r="N839">
        <v>41282.230000000003</v>
      </c>
      <c r="O839" t="s">
        <v>23</v>
      </c>
    </row>
    <row r="840" spans="1:15" x14ac:dyDescent="0.25">
      <c r="A840" t="s">
        <v>910</v>
      </c>
      <c r="B840" s="1">
        <v>45724</v>
      </c>
      <c r="C840" t="s">
        <v>25</v>
      </c>
      <c r="D840" t="s">
        <v>61</v>
      </c>
      <c r="E840" t="s">
        <v>62</v>
      </c>
      <c r="F840" t="s">
        <v>93</v>
      </c>
      <c r="G840" t="s">
        <v>28</v>
      </c>
      <c r="H840" t="s">
        <v>29</v>
      </c>
      <c r="I840" t="s">
        <v>48</v>
      </c>
      <c r="J840">
        <v>5</v>
      </c>
      <c r="K840">
        <v>3272</v>
      </c>
      <c r="L840">
        <v>0</v>
      </c>
      <c r="M840">
        <v>16360</v>
      </c>
      <c r="N840">
        <v>1493.01</v>
      </c>
      <c r="O840" t="s">
        <v>23</v>
      </c>
    </row>
    <row r="841" spans="1:15" x14ac:dyDescent="0.25">
      <c r="A841" t="s">
        <v>911</v>
      </c>
      <c r="B841" s="1">
        <v>45955</v>
      </c>
      <c r="C841" t="s">
        <v>16</v>
      </c>
      <c r="D841" t="s">
        <v>44</v>
      </c>
      <c r="E841" t="s">
        <v>44</v>
      </c>
      <c r="F841" t="s">
        <v>63</v>
      </c>
      <c r="G841" t="s">
        <v>20</v>
      </c>
      <c r="H841" t="s">
        <v>21</v>
      </c>
      <c r="I841" t="s">
        <v>56</v>
      </c>
      <c r="J841">
        <v>2</v>
      </c>
      <c r="K841">
        <v>78528</v>
      </c>
      <c r="L841">
        <v>15</v>
      </c>
      <c r="M841">
        <v>133497.60000000001</v>
      </c>
      <c r="N841">
        <v>13621.33</v>
      </c>
      <c r="O841" t="s">
        <v>23</v>
      </c>
    </row>
    <row r="842" spans="1:15" x14ac:dyDescent="0.25">
      <c r="A842" t="s">
        <v>912</v>
      </c>
      <c r="B842" s="1">
        <v>45896</v>
      </c>
      <c r="C842" t="s">
        <v>25</v>
      </c>
      <c r="D842" t="s">
        <v>26</v>
      </c>
      <c r="E842" t="s">
        <v>27</v>
      </c>
      <c r="F842" t="s">
        <v>93</v>
      </c>
      <c r="G842" t="s">
        <v>28</v>
      </c>
      <c r="H842" t="s">
        <v>77</v>
      </c>
      <c r="I842" t="s">
        <v>78</v>
      </c>
      <c r="J842">
        <v>9</v>
      </c>
      <c r="K842">
        <v>60524</v>
      </c>
      <c r="L842">
        <v>20</v>
      </c>
      <c r="M842">
        <v>435772.8</v>
      </c>
      <c r="N842">
        <v>51024.66</v>
      </c>
      <c r="O842" t="s">
        <v>23</v>
      </c>
    </row>
    <row r="843" spans="1:15" x14ac:dyDescent="0.25">
      <c r="A843" t="s">
        <v>913</v>
      </c>
      <c r="B843" s="1">
        <v>45882</v>
      </c>
      <c r="C843" t="s">
        <v>25</v>
      </c>
      <c r="D843" t="s">
        <v>26</v>
      </c>
      <c r="E843" t="s">
        <v>27</v>
      </c>
      <c r="F843" t="s">
        <v>93</v>
      </c>
      <c r="G843" t="s">
        <v>28</v>
      </c>
      <c r="H843" t="s">
        <v>29</v>
      </c>
      <c r="I843" t="s">
        <v>48</v>
      </c>
      <c r="J843">
        <v>7</v>
      </c>
      <c r="K843">
        <v>53596</v>
      </c>
      <c r="L843">
        <v>5</v>
      </c>
      <c r="M843">
        <v>356413.4</v>
      </c>
      <c r="N843">
        <v>87006.03</v>
      </c>
      <c r="O843" t="s">
        <v>42</v>
      </c>
    </row>
    <row r="844" spans="1:15" x14ac:dyDescent="0.25">
      <c r="A844" t="s">
        <v>914</v>
      </c>
      <c r="B844" s="1">
        <v>45747</v>
      </c>
      <c r="C844" t="s">
        <v>36</v>
      </c>
      <c r="D844" t="s">
        <v>50</v>
      </c>
      <c r="E844" t="s">
        <v>51</v>
      </c>
      <c r="F844" t="s">
        <v>19</v>
      </c>
      <c r="G844" t="s">
        <v>28</v>
      </c>
      <c r="H844" t="s">
        <v>40</v>
      </c>
      <c r="I844" t="s">
        <v>41</v>
      </c>
      <c r="J844">
        <v>6</v>
      </c>
      <c r="K844">
        <v>6641</v>
      </c>
      <c r="L844">
        <v>20</v>
      </c>
      <c r="M844">
        <v>31876.799999999999</v>
      </c>
      <c r="N844">
        <v>2874.54</v>
      </c>
      <c r="O844" t="s">
        <v>31</v>
      </c>
    </row>
    <row r="845" spans="1:15" x14ac:dyDescent="0.25">
      <c r="A845" t="s">
        <v>915</v>
      </c>
      <c r="B845" s="1">
        <v>45744</v>
      </c>
      <c r="C845" t="s">
        <v>36</v>
      </c>
      <c r="D845" t="s">
        <v>37</v>
      </c>
      <c r="E845" t="s">
        <v>38</v>
      </c>
      <c r="F845" t="s">
        <v>93</v>
      </c>
      <c r="G845" t="s">
        <v>20</v>
      </c>
      <c r="H845" t="s">
        <v>68</v>
      </c>
      <c r="I845" t="s">
        <v>90</v>
      </c>
      <c r="J845">
        <v>8</v>
      </c>
      <c r="K845">
        <v>25025</v>
      </c>
      <c r="L845">
        <v>0</v>
      </c>
      <c r="M845">
        <v>200200</v>
      </c>
      <c r="N845">
        <v>35408.61</v>
      </c>
      <c r="O845" t="s">
        <v>31</v>
      </c>
    </row>
    <row r="846" spans="1:15" x14ac:dyDescent="0.25">
      <c r="A846" t="s">
        <v>916</v>
      </c>
      <c r="B846" s="1">
        <v>45743</v>
      </c>
      <c r="C846" t="s">
        <v>65</v>
      </c>
      <c r="D846" t="s">
        <v>82</v>
      </c>
      <c r="E846" t="s">
        <v>83</v>
      </c>
      <c r="F846" t="s">
        <v>33</v>
      </c>
      <c r="G846" t="s">
        <v>20</v>
      </c>
      <c r="H846" t="s">
        <v>21</v>
      </c>
      <c r="I846" t="s">
        <v>22</v>
      </c>
      <c r="J846">
        <v>2</v>
      </c>
      <c r="K846">
        <v>79349</v>
      </c>
      <c r="L846">
        <v>10</v>
      </c>
      <c r="M846">
        <v>142828.20000000001</v>
      </c>
      <c r="N846">
        <v>13446.55</v>
      </c>
      <c r="O846" t="s">
        <v>42</v>
      </c>
    </row>
    <row r="847" spans="1:15" x14ac:dyDescent="0.25">
      <c r="A847" t="s">
        <v>917</v>
      </c>
      <c r="B847" s="1">
        <v>45706</v>
      </c>
      <c r="C847" t="s">
        <v>36</v>
      </c>
      <c r="D847" t="s">
        <v>37</v>
      </c>
      <c r="E847" t="s">
        <v>38</v>
      </c>
      <c r="F847" t="s">
        <v>33</v>
      </c>
      <c r="G847" t="s">
        <v>28</v>
      </c>
      <c r="H847" t="s">
        <v>29</v>
      </c>
      <c r="I847" t="s">
        <v>48</v>
      </c>
      <c r="J847">
        <v>7</v>
      </c>
      <c r="K847">
        <v>35814</v>
      </c>
      <c r="L847">
        <v>15</v>
      </c>
      <c r="M847">
        <v>213093.3</v>
      </c>
      <c r="N847">
        <v>39233.160000000003</v>
      </c>
      <c r="O847" t="s">
        <v>31</v>
      </c>
    </row>
    <row r="848" spans="1:15" x14ac:dyDescent="0.25">
      <c r="A848" t="s">
        <v>918</v>
      </c>
      <c r="B848" s="1">
        <v>45843</v>
      </c>
      <c r="C848" t="s">
        <v>65</v>
      </c>
      <c r="D848" t="s">
        <v>66</v>
      </c>
      <c r="E848" t="s">
        <v>67</v>
      </c>
      <c r="F848" t="s">
        <v>33</v>
      </c>
      <c r="G848" t="s">
        <v>28</v>
      </c>
      <c r="H848" t="s">
        <v>29</v>
      </c>
      <c r="I848" t="s">
        <v>53</v>
      </c>
      <c r="J848">
        <v>5</v>
      </c>
      <c r="K848">
        <v>74509</v>
      </c>
      <c r="L848">
        <v>5</v>
      </c>
      <c r="M848">
        <v>353917.75</v>
      </c>
      <c r="N848">
        <v>58771.47</v>
      </c>
      <c r="O848" t="s">
        <v>31</v>
      </c>
    </row>
    <row r="849" spans="1:15" x14ac:dyDescent="0.25">
      <c r="A849" t="s">
        <v>919</v>
      </c>
      <c r="B849" s="1">
        <v>45885</v>
      </c>
      <c r="C849" t="s">
        <v>16</v>
      </c>
      <c r="D849" t="s">
        <v>106</v>
      </c>
      <c r="E849" t="s">
        <v>107</v>
      </c>
      <c r="F849" t="s">
        <v>72</v>
      </c>
      <c r="G849" t="s">
        <v>20</v>
      </c>
      <c r="H849" t="s">
        <v>40</v>
      </c>
      <c r="I849" t="s">
        <v>59</v>
      </c>
      <c r="J849">
        <v>10</v>
      </c>
      <c r="K849">
        <v>78281</v>
      </c>
      <c r="L849">
        <v>10</v>
      </c>
      <c r="M849">
        <v>704529</v>
      </c>
      <c r="N849">
        <v>109848.06</v>
      </c>
      <c r="O849" t="s">
        <v>42</v>
      </c>
    </row>
    <row r="850" spans="1:15" x14ac:dyDescent="0.25">
      <c r="A850" t="s">
        <v>920</v>
      </c>
      <c r="B850" s="1">
        <v>45742</v>
      </c>
      <c r="C850" t="s">
        <v>36</v>
      </c>
      <c r="D850" t="s">
        <v>85</v>
      </c>
      <c r="E850" t="s">
        <v>86</v>
      </c>
      <c r="F850" t="s">
        <v>33</v>
      </c>
      <c r="G850" t="s">
        <v>20</v>
      </c>
      <c r="H850" t="s">
        <v>21</v>
      </c>
      <c r="I850" t="s">
        <v>45</v>
      </c>
      <c r="J850">
        <v>5</v>
      </c>
      <c r="K850">
        <v>31266</v>
      </c>
      <c r="L850">
        <v>0</v>
      </c>
      <c r="M850">
        <v>156330</v>
      </c>
      <c r="N850">
        <v>37553.800000000003</v>
      </c>
      <c r="O850" t="s">
        <v>34</v>
      </c>
    </row>
    <row r="851" spans="1:15" x14ac:dyDescent="0.25">
      <c r="A851" t="s">
        <v>921</v>
      </c>
      <c r="B851" s="1">
        <v>45902</v>
      </c>
      <c r="C851" t="s">
        <v>16</v>
      </c>
      <c r="D851" t="s">
        <v>106</v>
      </c>
      <c r="E851" t="s">
        <v>107</v>
      </c>
      <c r="F851" t="s">
        <v>47</v>
      </c>
      <c r="G851" t="s">
        <v>28</v>
      </c>
      <c r="H851" t="s">
        <v>29</v>
      </c>
      <c r="I851" t="s">
        <v>30</v>
      </c>
      <c r="J851">
        <v>9</v>
      </c>
      <c r="K851">
        <v>29630</v>
      </c>
      <c r="L851">
        <v>20</v>
      </c>
      <c r="M851">
        <v>213336</v>
      </c>
      <c r="N851">
        <v>37235.18</v>
      </c>
      <c r="O851" t="s">
        <v>31</v>
      </c>
    </row>
    <row r="852" spans="1:15" x14ac:dyDescent="0.25">
      <c r="A852" t="s">
        <v>922</v>
      </c>
      <c r="B852" s="1">
        <v>45723</v>
      </c>
      <c r="C852" t="s">
        <v>65</v>
      </c>
      <c r="D852" t="s">
        <v>66</v>
      </c>
      <c r="E852" t="s">
        <v>67</v>
      </c>
      <c r="F852" t="s">
        <v>93</v>
      </c>
      <c r="G852" t="s">
        <v>28</v>
      </c>
      <c r="H852" t="s">
        <v>29</v>
      </c>
      <c r="I852" t="s">
        <v>53</v>
      </c>
      <c r="J852">
        <v>9</v>
      </c>
      <c r="K852">
        <v>46885</v>
      </c>
      <c r="L852">
        <v>5</v>
      </c>
      <c r="M852">
        <v>400866.75</v>
      </c>
      <c r="N852">
        <v>56406.17</v>
      </c>
      <c r="O852" t="s">
        <v>34</v>
      </c>
    </row>
    <row r="853" spans="1:15" x14ac:dyDescent="0.25">
      <c r="A853" t="s">
        <v>923</v>
      </c>
      <c r="B853" s="1">
        <v>45975</v>
      </c>
      <c r="C853" t="s">
        <v>36</v>
      </c>
      <c r="D853" t="s">
        <v>50</v>
      </c>
      <c r="E853" t="s">
        <v>51</v>
      </c>
      <c r="F853" t="s">
        <v>63</v>
      </c>
      <c r="G853" t="s">
        <v>28</v>
      </c>
      <c r="H853" t="s">
        <v>29</v>
      </c>
      <c r="I853" t="s">
        <v>48</v>
      </c>
      <c r="J853">
        <v>2</v>
      </c>
      <c r="K853">
        <v>21729</v>
      </c>
      <c r="L853">
        <v>0</v>
      </c>
      <c r="M853">
        <v>43458</v>
      </c>
      <c r="N853">
        <v>4631.13</v>
      </c>
      <c r="O853" t="s">
        <v>31</v>
      </c>
    </row>
    <row r="854" spans="1:15" x14ac:dyDescent="0.25">
      <c r="A854" t="s">
        <v>924</v>
      </c>
      <c r="B854" s="1">
        <v>45937</v>
      </c>
      <c r="C854" t="s">
        <v>36</v>
      </c>
      <c r="D854" t="s">
        <v>37</v>
      </c>
      <c r="E854" t="s">
        <v>38</v>
      </c>
      <c r="F854" t="s">
        <v>39</v>
      </c>
      <c r="G854" t="s">
        <v>28</v>
      </c>
      <c r="H854" t="s">
        <v>77</v>
      </c>
      <c r="I854" t="s">
        <v>78</v>
      </c>
      <c r="J854">
        <v>2</v>
      </c>
      <c r="K854">
        <v>52582</v>
      </c>
      <c r="L854">
        <v>10</v>
      </c>
      <c r="M854">
        <v>94647.6</v>
      </c>
      <c r="N854">
        <v>12435.63</v>
      </c>
      <c r="O854" t="s">
        <v>23</v>
      </c>
    </row>
    <row r="855" spans="1:15" x14ac:dyDescent="0.25">
      <c r="A855" t="s">
        <v>925</v>
      </c>
      <c r="B855" s="1">
        <v>45677</v>
      </c>
      <c r="C855" t="s">
        <v>36</v>
      </c>
      <c r="D855" t="s">
        <v>50</v>
      </c>
      <c r="E855" t="s">
        <v>51</v>
      </c>
      <c r="F855" t="s">
        <v>93</v>
      </c>
      <c r="G855" t="s">
        <v>20</v>
      </c>
      <c r="H855" t="s">
        <v>68</v>
      </c>
      <c r="I855" t="s">
        <v>90</v>
      </c>
      <c r="J855">
        <v>5</v>
      </c>
      <c r="K855">
        <v>16459</v>
      </c>
      <c r="L855">
        <v>10</v>
      </c>
      <c r="M855">
        <v>74065.5</v>
      </c>
      <c r="N855">
        <v>10167.92</v>
      </c>
      <c r="O855" t="s">
        <v>34</v>
      </c>
    </row>
    <row r="856" spans="1:15" x14ac:dyDescent="0.25">
      <c r="A856" t="s">
        <v>926</v>
      </c>
      <c r="B856" s="1">
        <v>45685</v>
      </c>
      <c r="C856" t="s">
        <v>16</v>
      </c>
      <c r="D856" t="s">
        <v>17</v>
      </c>
      <c r="E856" t="s">
        <v>18</v>
      </c>
      <c r="F856" t="s">
        <v>33</v>
      </c>
      <c r="G856" t="s">
        <v>20</v>
      </c>
      <c r="H856" t="s">
        <v>40</v>
      </c>
      <c r="I856" t="s">
        <v>41</v>
      </c>
      <c r="J856">
        <v>7</v>
      </c>
      <c r="K856">
        <v>20484</v>
      </c>
      <c r="L856">
        <v>10</v>
      </c>
      <c r="M856">
        <v>129049.2</v>
      </c>
      <c r="N856">
        <v>14686.22</v>
      </c>
      <c r="O856" t="s">
        <v>31</v>
      </c>
    </row>
    <row r="857" spans="1:15" x14ac:dyDescent="0.25">
      <c r="A857" t="s">
        <v>927</v>
      </c>
      <c r="B857" s="1">
        <v>45690</v>
      </c>
      <c r="C857" t="s">
        <v>16</v>
      </c>
      <c r="D857" t="s">
        <v>17</v>
      </c>
      <c r="E857" t="s">
        <v>18</v>
      </c>
      <c r="F857" t="s">
        <v>19</v>
      </c>
      <c r="G857" t="s">
        <v>20</v>
      </c>
      <c r="H857" t="s">
        <v>77</v>
      </c>
      <c r="I857" t="s">
        <v>88</v>
      </c>
      <c r="J857">
        <v>7</v>
      </c>
      <c r="K857">
        <v>70177</v>
      </c>
      <c r="L857">
        <v>10</v>
      </c>
      <c r="M857">
        <v>442115.1</v>
      </c>
      <c r="N857">
        <v>71623.42</v>
      </c>
      <c r="O857" t="s">
        <v>31</v>
      </c>
    </row>
    <row r="858" spans="1:15" x14ac:dyDescent="0.25">
      <c r="A858" t="s">
        <v>928</v>
      </c>
      <c r="B858" s="1">
        <v>45697</v>
      </c>
      <c r="C858" t="s">
        <v>36</v>
      </c>
      <c r="D858" t="s">
        <v>37</v>
      </c>
      <c r="E858" t="s">
        <v>38</v>
      </c>
      <c r="F858" t="s">
        <v>47</v>
      </c>
      <c r="G858" t="s">
        <v>28</v>
      </c>
      <c r="H858" t="s">
        <v>29</v>
      </c>
      <c r="I858" t="s">
        <v>48</v>
      </c>
      <c r="J858">
        <v>4</v>
      </c>
      <c r="K858">
        <v>72140</v>
      </c>
      <c r="L858">
        <v>0</v>
      </c>
      <c r="M858">
        <v>288560</v>
      </c>
      <c r="N858">
        <v>33451.86</v>
      </c>
      <c r="O858" t="s">
        <v>23</v>
      </c>
    </row>
    <row r="859" spans="1:15" x14ac:dyDescent="0.25">
      <c r="A859" t="s">
        <v>929</v>
      </c>
      <c r="B859" s="1">
        <v>45707</v>
      </c>
      <c r="C859" t="s">
        <v>36</v>
      </c>
      <c r="D859" t="s">
        <v>85</v>
      </c>
      <c r="E859" t="s">
        <v>86</v>
      </c>
      <c r="F859" t="s">
        <v>93</v>
      </c>
      <c r="G859" t="s">
        <v>28</v>
      </c>
      <c r="H859" t="s">
        <v>29</v>
      </c>
      <c r="I859" t="s">
        <v>48</v>
      </c>
      <c r="J859">
        <v>10</v>
      </c>
      <c r="K859">
        <v>70166</v>
      </c>
      <c r="L859">
        <v>10</v>
      </c>
      <c r="M859">
        <v>631494</v>
      </c>
      <c r="N859">
        <v>73640.83</v>
      </c>
      <c r="O859" t="s">
        <v>23</v>
      </c>
    </row>
    <row r="860" spans="1:15" x14ac:dyDescent="0.25">
      <c r="A860" t="s">
        <v>930</v>
      </c>
      <c r="B860" s="1">
        <v>45959</v>
      </c>
      <c r="C860" t="s">
        <v>65</v>
      </c>
      <c r="D860" t="s">
        <v>82</v>
      </c>
      <c r="E860" t="s">
        <v>83</v>
      </c>
      <c r="F860" t="s">
        <v>52</v>
      </c>
      <c r="G860" t="s">
        <v>28</v>
      </c>
      <c r="H860" t="s">
        <v>40</v>
      </c>
      <c r="I860" t="s">
        <v>59</v>
      </c>
      <c r="J860">
        <v>7</v>
      </c>
      <c r="K860">
        <v>68315</v>
      </c>
      <c r="L860">
        <v>0</v>
      </c>
      <c r="M860">
        <v>478205</v>
      </c>
      <c r="N860">
        <v>69630.41</v>
      </c>
      <c r="O860" t="s">
        <v>34</v>
      </c>
    </row>
    <row r="861" spans="1:15" x14ac:dyDescent="0.25">
      <c r="A861" t="s">
        <v>931</v>
      </c>
      <c r="B861" s="1">
        <v>45784</v>
      </c>
      <c r="C861" t="s">
        <v>16</v>
      </c>
      <c r="D861" t="s">
        <v>17</v>
      </c>
      <c r="E861" t="s">
        <v>18</v>
      </c>
      <c r="F861" t="s">
        <v>63</v>
      </c>
      <c r="G861" t="s">
        <v>20</v>
      </c>
      <c r="H861" t="s">
        <v>29</v>
      </c>
      <c r="I861" t="s">
        <v>48</v>
      </c>
      <c r="J861">
        <v>3</v>
      </c>
      <c r="K861">
        <v>20637</v>
      </c>
      <c r="L861">
        <v>20</v>
      </c>
      <c r="M861">
        <v>49528.800000000003</v>
      </c>
      <c r="N861">
        <v>11233.22</v>
      </c>
      <c r="O861" t="s">
        <v>31</v>
      </c>
    </row>
    <row r="862" spans="1:15" x14ac:dyDescent="0.25">
      <c r="A862" t="s">
        <v>932</v>
      </c>
      <c r="B862" s="1">
        <v>45711</v>
      </c>
      <c r="C862" t="s">
        <v>65</v>
      </c>
      <c r="D862" t="s">
        <v>82</v>
      </c>
      <c r="E862" t="s">
        <v>83</v>
      </c>
      <c r="F862" t="s">
        <v>33</v>
      </c>
      <c r="G862" t="s">
        <v>28</v>
      </c>
      <c r="H862" t="s">
        <v>68</v>
      </c>
      <c r="I862" t="s">
        <v>69</v>
      </c>
      <c r="J862">
        <v>8</v>
      </c>
      <c r="K862">
        <v>31510</v>
      </c>
      <c r="L862">
        <v>0</v>
      </c>
      <c r="M862">
        <v>252080</v>
      </c>
      <c r="N862">
        <v>58958.67</v>
      </c>
      <c r="O862" t="s">
        <v>42</v>
      </c>
    </row>
    <row r="863" spans="1:15" x14ac:dyDescent="0.25">
      <c r="A863" t="s">
        <v>933</v>
      </c>
      <c r="B863" s="1">
        <v>45971</v>
      </c>
      <c r="C863" t="s">
        <v>65</v>
      </c>
      <c r="D863" t="s">
        <v>66</v>
      </c>
      <c r="E863" t="s">
        <v>67</v>
      </c>
      <c r="F863" t="s">
        <v>72</v>
      </c>
      <c r="G863" t="s">
        <v>20</v>
      </c>
      <c r="H863" t="s">
        <v>77</v>
      </c>
      <c r="I863" t="s">
        <v>88</v>
      </c>
      <c r="J863">
        <v>4</v>
      </c>
      <c r="K863">
        <v>58345</v>
      </c>
      <c r="L863">
        <v>20</v>
      </c>
      <c r="M863">
        <v>186704</v>
      </c>
      <c r="N863">
        <v>31888.83</v>
      </c>
      <c r="O863" t="s">
        <v>23</v>
      </c>
    </row>
    <row r="864" spans="1:15" x14ac:dyDescent="0.25">
      <c r="A864" t="s">
        <v>934</v>
      </c>
      <c r="B864" s="1">
        <v>45728</v>
      </c>
      <c r="C864" t="s">
        <v>65</v>
      </c>
      <c r="D864" t="s">
        <v>82</v>
      </c>
      <c r="E864" t="s">
        <v>83</v>
      </c>
      <c r="F864" t="s">
        <v>33</v>
      </c>
      <c r="G864" t="s">
        <v>28</v>
      </c>
      <c r="H864" t="s">
        <v>77</v>
      </c>
      <c r="I864" t="s">
        <v>78</v>
      </c>
      <c r="J864">
        <v>2</v>
      </c>
      <c r="K864">
        <v>56392</v>
      </c>
      <c r="L864">
        <v>5</v>
      </c>
      <c r="M864">
        <v>107144.8</v>
      </c>
      <c r="N864">
        <v>23029.35</v>
      </c>
      <c r="O864" t="s">
        <v>34</v>
      </c>
    </row>
    <row r="865" spans="1:15" x14ac:dyDescent="0.25">
      <c r="A865" t="s">
        <v>935</v>
      </c>
      <c r="B865" s="1">
        <v>46003</v>
      </c>
      <c r="C865" t="s">
        <v>36</v>
      </c>
      <c r="D865" t="s">
        <v>50</v>
      </c>
      <c r="E865" t="s">
        <v>51</v>
      </c>
      <c r="F865" t="s">
        <v>19</v>
      </c>
      <c r="G865" t="s">
        <v>28</v>
      </c>
      <c r="H865" t="s">
        <v>21</v>
      </c>
      <c r="I865" t="s">
        <v>56</v>
      </c>
      <c r="J865">
        <v>4</v>
      </c>
      <c r="K865">
        <v>72610</v>
      </c>
      <c r="L865">
        <v>0</v>
      </c>
      <c r="M865">
        <v>290440</v>
      </c>
      <c r="N865">
        <v>30598.37</v>
      </c>
      <c r="O865" t="s">
        <v>31</v>
      </c>
    </row>
    <row r="866" spans="1:15" x14ac:dyDescent="0.25">
      <c r="A866" t="s">
        <v>936</v>
      </c>
      <c r="B866" s="1">
        <v>45851</v>
      </c>
      <c r="C866" t="s">
        <v>25</v>
      </c>
      <c r="D866" t="s">
        <v>26</v>
      </c>
      <c r="E866" t="s">
        <v>27</v>
      </c>
      <c r="F866" t="s">
        <v>47</v>
      </c>
      <c r="G866" t="s">
        <v>28</v>
      </c>
      <c r="H866" t="s">
        <v>40</v>
      </c>
      <c r="I866" t="s">
        <v>59</v>
      </c>
      <c r="J866">
        <v>9</v>
      </c>
      <c r="K866">
        <v>74361</v>
      </c>
      <c r="L866">
        <v>5</v>
      </c>
      <c r="M866">
        <v>635786.55000000005</v>
      </c>
      <c r="N866">
        <v>132965.59</v>
      </c>
      <c r="O866" t="s">
        <v>34</v>
      </c>
    </row>
    <row r="867" spans="1:15" x14ac:dyDescent="0.25">
      <c r="A867" t="s">
        <v>937</v>
      </c>
      <c r="B867" s="1">
        <v>45836</v>
      </c>
      <c r="C867" t="s">
        <v>36</v>
      </c>
      <c r="D867" t="s">
        <v>85</v>
      </c>
      <c r="E867" t="s">
        <v>86</v>
      </c>
      <c r="F867" t="s">
        <v>19</v>
      </c>
      <c r="G867" t="s">
        <v>28</v>
      </c>
      <c r="H867" t="s">
        <v>29</v>
      </c>
      <c r="I867" t="s">
        <v>48</v>
      </c>
      <c r="J867">
        <v>9</v>
      </c>
      <c r="K867">
        <v>44477</v>
      </c>
      <c r="L867">
        <v>15</v>
      </c>
      <c r="M867">
        <v>340249.05</v>
      </c>
      <c r="N867">
        <v>32449.41</v>
      </c>
      <c r="O867" t="s">
        <v>23</v>
      </c>
    </row>
    <row r="868" spans="1:15" x14ac:dyDescent="0.25">
      <c r="A868" t="s">
        <v>938</v>
      </c>
      <c r="B868" s="1">
        <v>45907</v>
      </c>
      <c r="C868" t="s">
        <v>36</v>
      </c>
      <c r="D868" t="s">
        <v>37</v>
      </c>
      <c r="E868" t="s">
        <v>38</v>
      </c>
      <c r="F868" t="s">
        <v>39</v>
      </c>
      <c r="G868" t="s">
        <v>20</v>
      </c>
      <c r="H868" t="s">
        <v>29</v>
      </c>
      <c r="I868" t="s">
        <v>48</v>
      </c>
      <c r="J868">
        <v>4</v>
      </c>
      <c r="K868">
        <v>43046</v>
      </c>
      <c r="L868">
        <v>20</v>
      </c>
      <c r="M868">
        <v>137747.20000000001</v>
      </c>
      <c r="N868">
        <v>27683.48</v>
      </c>
      <c r="O868" t="s">
        <v>23</v>
      </c>
    </row>
    <row r="869" spans="1:15" x14ac:dyDescent="0.25">
      <c r="A869" t="s">
        <v>939</v>
      </c>
      <c r="B869" s="1">
        <v>45835</v>
      </c>
      <c r="C869" t="s">
        <v>65</v>
      </c>
      <c r="D869" t="s">
        <v>82</v>
      </c>
      <c r="E869" t="s">
        <v>83</v>
      </c>
      <c r="F869" t="s">
        <v>47</v>
      </c>
      <c r="G869" t="s">
        <v>28</v>
      </c>
      <c r="H869" t="s">
        <v>68</v>
      </c>
      <c r="I869" t="s">
        <v>94</v>
      </c>
      <c r="J869">
        <v>5</v>
      </c>
      <c r="K869">
        <v>45454</v>
      </c>
      <c r="L869">
        <v>15</v>
      </c>
      <c r="M869">
        <v>193179.5</v>
      </c>
      <c r="N869">
        <v>26468.19</v>
      </c>
      <c r="O869" t="s">
        <v>42</v>
      </c>
    </row>
    <row r="870" spans="1:15" x14ac:dyDescent="0.25">
      <c r="A870" t="s">
        <v>940</v>
      </c>
      <c r="B870" s="1">
        <v>45984</v>
      </c>
      <c r="C870" t="s">
        <v>65</v>
      </c>
      <c r="D870" t="s">
        <v>66</v>
      </c>
      <c r="E870" t="s">
        <v>67</v>
      </c>
      <c r="F870" t="s">
        <v>47</v>
      </c>
      <c r="G870" t="s">
        <v>20</v>
      </c>
      <c r="H870" t="s">
        <v>21</v>
      </c>
      <c r="I870" t="s">
        <v>56</v>
      </c>
      <c r="J870">
        <v>4</v>
      </c>
      <c r="K870">
        <v>12062</v>
      </c>
      <c r="L870">
        <v>15</v>
      </c>
      <c r="M870">
        <v>41010.800000000003</v>
      </c>
      <c r="N870">
        <v>5240.92</v>
      </c>
      <c r="O870" t="s">
        <v>23</v>
      </c>
    </row>
    <row r="871" spans="1:15" x14ac:dyDescent="0.25">
      <c r="A871" t="s">
        <v>941</v>
      </c>
      <c r="B871" s="1">
        <v>45679</v>
      </c>
      <c r="C871" t="s">
        <v>36</v>
      </c>
      <c r="D871" t="s">
        <v>50</v>
      </c>
      <c r="E871" t="s">
        <v>51</v>
      </c>
      <c r="F871" t="s">
        <v>63</v>
      </c>
      <c r="G871" t="s">
        <v>20</v>
      </c>
      <c r="H871" t="s">
        <v>29</v>
      </c>
      <c r="I871" t="s">
        <v>48</v>
      </c>
      <c r="J871">
        <v>8</v>
      </c>
      <c r="K871">
        <v>16533</v>
      </c>
      <c r="L871">
        <v>10</v>
      </c>
      <c r="M871">
        <v>119037.6</v>
      </c>
      <c r="N871">
        <v>26691.22</v>
      </c>
      <c r="O871" t="s">
        <v>23</v>
      </c>
    </row>
    <row r="872" spans="1:15" x14ac:dyDescent="0.25">
      <c r="A872" t="s">
        <v>942</v>
      </c>
      <c r="B872" s="1">
        <v>46014</v>
      </c>
      <c r="C872" t="s">
        <v>25</v>
      </c>
      <c r="D872" t="s">
        <v>61</v>
      </c>
      <c r="E872" t="s">
        <v>62</v>
      </c>
      <c r="F872" t="s">
        <v>93</v>
      </c>
      <c r="G872" t="s">
        <v>28</v>
      </c>
      <c r="H872" t="s">
        <v>40</v>
      </c>
      <c r="I872" t="s">
        <v>59</v>
      </c>
      <c r="J872">
        <v>3</v>
      </c>
      <c r="K872">
        <v>74911</v>
      </c>
      <c r="L872">
        <v>20</v>
      </c>
      <c r="M872">
        <v>179786.4</v>
      </c>
      <c r="N872">
        <v>37752.639999999999</v>
      </c>
      <c r="O872" t="s">
        <v>23</v>
      </c>
    </row>
    <row r="873" spans="1:15" x14ac:dyDescent="0.25">
      <c r="A873" t="s">
        <v>943</v>
      </c>
      <c r="B873" s="1">
        <v>45806</v>
      </c>
      <c r="C873" t="s">
        <v>16</v>
      </c>
      <c r="D873" t="s">
        <v>106</v>
      </c>
      <c r="E873" t="s">
        <v>107</v>
      </c>
      <c r="F873" t="s">
        <v>33</v>
      </c>
      <c r="G873" t="s">
        <v>20</v>
      </c>
      <c r="H873" t="s">
        <v>40</v>
      </c>
      <c r="I873" t="s">
        <v>41</v>
      </c>
      <c r="J873">
        <v>5</v>
      </c>
      <c r="K873">
        <v>28116</v>
      </c>
      <c r="L873">
        <v>0</v>
      </c>
      <c r="M873">
        <v>140580</v>
      </c>
      <c r="N873">
        <v>32033.17</v>
      </c>
      <c r="O873" t="s">
        <v>42</v>
      </c>
    </row>
    <row r="874" spans="1:15" x14ac:dyDescent="0.25">
      <c r="A874" t="s">
        <v>944</v>
      </c>
      <c r="B874" s="1">
        <v>46009</v>
      </c>
      <c r="C874" t="s">
        <v>65</v>
      </c>
      <c r="D874" t="s">
        <v>82</v>
      </c>
      <c r="E874" t="s">
        <v>83</v>
      </c>
      <c r="F874" t="s">
        <v>19</v>
      </c>
      <c r="G874" t="s">
        <v>20</v>
      </c>
      <c r="H874" t="s">
        <v>77</v>
      </c>
      <c r="I874" t="s">
        <v>100</v>
      </c>
      <c r="J874">
        <v>1</v>
      </c>
      <c r="K874">
        <v>40703</v>
      </c>
      <c r="L874">
        <v>0</v>
      </c>
      <c r="M874">
        <v>40703</v>
      </c>
      <c r="N874">
        <v>8482.31</v>
      </c>
      <c r="O874" t="s">
        <v>42</v>
      </c>
    </row>
    <row r="875" spans="1:15" x14ac:dyDescent="0.25">
      <c r="A875" t="s">
        <v>945</v>
      </c>
      <c r="B875" s="1">
        <v>45863</v>
      </c>
      <c r="C875" t="s">
        <v>16</v>
      </c>
      <c r="D875" t="s">
        <v>44</v>
      </c>
      <c r="E875" t="s">
        <v>44</v>
      </c>
      <c r="F875" t="s">
        <v>47</v>
      </c>
      <c r="G875" t="s">
        <v>28</v>
      </c>
      <c r="H875" t="s">
        <v>29</v>
      </c>
      <c r="I875" t="s">
        <v>48</v>
      </c>
      <c r="J875">
        <v>6</v>
      </c>
      <c r="K875">
        <v>56077</v>
      </c>
      <c r="L875">
        <v>15</v>
      </c>
      <c r="M875">
        <v>285992.7</v>
      </c>
      <c r="N875">
        <v>28735.27</v>
      </c>
      <c r="O875" t="s">
        <v>23</v>
      </c>
    </row>
    <row r="876" spans="1:15" x14ac:dyDescent="0.25">
      <c r="A876" t="s">
        <v>946</v>
      </c>
      <c r="B876" s="1">
        <v>46010</v>
      </c>
      <c r="C876" t="s">
        <v>36</v>
      </c>
      <c r="D876" t="s">
        <v>37</v>
      </c>
      <c r="E876" t="s">
        <v>38</v>
      </c>
      <c r="F876" t="s">
        <v>93</v>
      </c>
      <c r="G876" t="s">
        <v>20</v>
      </c>
      <c r="H876" t="s">
        <v>68</v>
      </c>
      <c r="I876" t="s">
        <v>94</v>
      </c>
      <c r="J876">
        <v>5</v>
      </c>
      <c r="K876">
        <v>7517</v>
      </c>
      <c r="L876">
        <v>20</v>
      </c>
      <c r="M876">
        <v>30068</v>
      </c>
      <c r="N876">
        <v>2856.83</v>
      </c>
      <c r="O876" t="s">
        <v>34</v>
      </c>
    </row>
    <row r="877" spans="1:15" x14ac:dyDescent="0.25">
      <c r="A877" t="s">
        <v>947</v>
      </c>
      <c r="B877" s="1">
        <v>45810</v>
      </c>
      <c r="C877" t="s">
        <v>36</v>
      </c>
      <c r="D877" t="s">
        <v>50</v>
      </c>
      <c r="E877" t="s">
        <v>51</v>
      </c>
      <c r="F877" t="s">
        <v>39</v>
      </c>
      <c r="G877" t="s">
        <v>20</v>
      </c>
      <c r="H877" t="s">
        <v>29</v>
      </c>
      <c r="I877" t="s">
        <v>30</v>
      </c>
      <c r="J877">
        <v>7</v>
      </c>
      <c r="K877">
        <v>38225</v>
      </c>
      <c r="L877">
        <v>15</v>
      </c>
      <c r="M877">
        <v>227438.75</v>
      </c>
      <c r="N877">
        <v>52757.63</v>
      </c>
      <c r="O877" t="s">
        <v>31</v>
      </c>
    </row>
    <row r="878" spans="1:15" x14ac:dyDescent="0.25">
      <c r="A878" t="s">
        <v>948</v>
      </c>
      <c r="B878" s="1">
        <v>45791</v>
      </c>
      <c r="C878" t="s">
        <v>36</v>
      </c>
      <c r="D878" t="s">
        <v>85</v>
      </c>
      <c r="E878" t="s">
        <v>86</v>
      </c>
      <c r="F878" t="s">
        <v>39</v>
      </c>
      <c r="G878" t="s">
        <v>20</v>
      </c>
      <c r="H878" t="s">
        <v>21</v>
      </c>
      <c r="I878" t="s">
        <v>45</v>
      </c>
      <c r="J878">
        <v>1</v>
      </c>
      <c r="K878">
        <v>27728</v>
      </c>
      <c r="L878">
        <v>0</v>
      </c>
      <c r="M878">
        <v>27728</v>
      </c>
      <c r="N878">
        <v>4287.91</v>
      </c>
      <c r="O878" t="s">
        <v>23</v>
      </c>
    </row>
    <row r="879" spans="1:15" x14ac:dyDescent="0.25">
      <c r="A879" t="s">
        <v>949</v>
      </c>
      <c r="B879" s="1">
        <v>45986</v>
      </c>
      <c r="C879" t="s">
        <v>25</v>
      </c>
      <c r="D879" t="s">
        <v>61</v>
      </c>
      <c r="E879" t="s">
        <v>62</v>
      </c>
      <c r="F879" t="s">
        <v>33</v>
      </c>
      <c r="G879" t="s">
        <v>28</v>
      </c>
      <c r="H879" t="s">
        <v>40</v>
      </c>
      <c r="I879" t="s">
        <v>80</v>
      </c>
      <c r="J879">
        <v>10</v>
      </c>
      <c r="K879">
        <v>11844</v>
      </c>
      <c r="L879">
        <v>10</v>
      </c>
      <c r="M879">
        <v>106596</v>
      </c>
      <c r="N879">
        <v>17004.689999999999</v>
      </c>
      <c r="O879" t="s">
        <v>31</v>
      </c>
    </row>
    <row r="880" spans="1:15" x14ac:dyDescent="0.25">
      <c r="A880" t="s">
        <v>950</v>
      </c>
      <c r="B880" s="1">
        <v>46019</v>
      </c>
      <c r="C880" t="s">
        <v>25</v>
      </c>
      <c r="D880" t="s">
        <v>61</v>
      </c>
      <c r="E880" t="s">
        <v>62</v>
      </c>
      <c r="F880" t="s">
        <v>52</v>
      </c>
      <c r="G880" t="s">
        <v>20</v>
      </c>
      <c r="H880" t="s">
        <v>68</v>
      </c>
      <c r="I880" t="s">
        <v>90</v>
      </c>
      <c r="J880">
        <v>3</v>
      </c>
      <c r="K880">
        <v>24585</v>
      </c>
      <c r="L880">
        <v>20</v>
      </c>
      <c r="M880">
        <v>59004</v>
      </c>
      <c r="N880">
        <v>6988.38</v>
      </c>
      <c r="O880" t="s">
        <v>31</v>
      </c>
    </row>
    <row r="881" spans="1:15" x14ac:dyDescent="0.25">
      <c r="A881" t="s">
        <v>951</v>
      </c>
      <c r="B881" s="1">
        <v>45769</v>
      </c>
      <c r="C881" t="s">
        <v>65</v>
      </c>
      <c r="D881" t="s">
        <v>82</v>
      </c>
      <c r="E881" t="s">
        <v>83</v>
      </c>
      <c r="F881" t="s">
        <v>52</v>
      </c>
      <c r="G881" t="s">
        <v>20</v>
      </c>
      <c r="H881" t="s">
        <v>21</v>
      </c>
      <c r="I881" t="s">
        <v>56</v>
      </c>
      <c r="J881">
        <v>7</v>
      </c>
      <c r="K881">
        <v>75763</v>
      </c>
      <c r="L881">
        <v>20</v>
      </c>
      <c r="M881">
        <v>424272.8</v>
      </c>
      <c r="N881">
        <v>64180.12</v>
      </c>
      <c r="O881" t="s">
        <v>34</v>
      </c>
    </row>
    <row r="882" spans="1:15" x14ac:dyDescent="0.25">
      <c r="A882" t="s">
        <v>952</v>
      </c>
      <c r="B882" s="1">
        <v>45696</v>
      </c>
      <c r="C882" t="s">
        <v>36</v>
      </c>
      <c r="D882" t="s">
        <v>37</v>
      </c>
      <c r="E882" t="s">
        <v>38</v>
      </c>
      <c r="F882" t="s">
        <v>63</v>
      </c>
      <c r="G882" t="s">
        <v>28</v>
      </c>
      <c r="H882" t="s">
        <v>40</v>
      </c>
      <c r="I882" t="s">
        <v>80</v>
      </c>
      <c r="J882">
        <v>1</v>
      </c>
      <c r="K882">
        <v>11566</v>
      </c>
      <c r="L882">
        <v>20</v>
      </c>
      <c r="M882">
        <v>9252.7999999999993</v>
      </c>
      <c r="N882">
        <v>964.58</v>
      </c>
      <c r="O882" t="s">
        <v>42</v>
      </c>
    </row>
    <row r="883" spans="1:15" x14ac:dyDescent="0.25">
      <c r="A883" t="s">
        <v>953</v>
      </c>
      <c r="B883" s="1">
        <v>45959</v>
      </c>
      <c r="C883" t="s">
        <v>25</v>
      </c>
      <c r="D883" t="s">
        <v>61</v>
      </c>
      <c r="E883" t="s">
        <v>62</v>
      </c>
      <c r="F883" t="s">
        <v>63</v>
      </c>
      <c r="G883" t="s">
        <v>20</v>
      </c>
      <c r="H883" t="s">
        <v>40</v>
      </c>
      <c r="I883" t="s">
        <v>80</v>
      </c>
      <c r="J883">
        <v>5</v>
      </c>
      <c r="K883">
        <v>21074</v>
      </c>
      <c r="L883">
        <v>5</v>
      </c>
      <c r="M883">
        <v>100101.5</v>
      </c>
      <c r="N883">
        <v>22552.38</v>
      </c>
      <c r="O883" t="s">
        <v>31</v>
      </c>
    </row>
    <row r="884" spans="1:15" x14ac:dyDescent="0.25">
      <c r="A884" t="s">
        <v>954</v>
      </c>
      <c r="B884" s="1">
        <v>45740</v>
      </c>
      <c r="C884" t="s">
        <v>36</v>
      </c>
      <c r="D884" t="s">
        <v>85</v>
      </c>
      <c r="E884" t="s">
        <v>86</v>
      </c>
      <c r="F884" t="s">
        <v>52</v>
      </c>
      <c r="G884" t="s">
        <v>28</v>
      </c>
      <c r="H884" t="s">
        <v>29</v>
      </c>
      <c r="I884" t="s">
        <v>30</v>
      </c>
      <c r="J884">
        <v>5</v>
      </c>
      <c r="K884">
        <v>40763</v>
      </c>
      <c r="L884">
        <v>5</v>
      </c>
      <c r="M884">
        <v>193624.25</v>
      </c>
      <c r="N884">
        <v>15942.04</v>
      </c>
      <c r="O884" t="s">
        <v>42</v>
      </c>
    </row>
    <row r="885" spans="1:15" x14ac:dyDescent="0.25">
      <c r="A885" t="s">
        <v>955</v>
      </c>
      <c r="B885" s="1">
        <v>45956</v>
      </c>
      <c r="C885" t="s">
        <v>25</v>
      </c>
      <c r="D885" t="s">
        <v>61</v>
      </c>
      <c r="E885" t="s">
        <v>62</v>
      </c>
      <c r="F885" t="s">
        <v>72</v>
      </c>
      <c r="G885" t="s">
        <v>20</v>
      </c>
      <c r="H885" t="s">
        <v>29</v>
      </c>
      <c r="I885" t="s">
        <v>48</v>
      </c>
      <c r="J885">
        <v>2</v>
      </c>
      <c r="K885">
        <v>45017</v>
      </c>
      <c r="L885">
        <v>0</v>
      </c>
      <c r="M885">
        <v>90034</v>
      </c>
      <c r="N885">
        <v>12509.75</v>
      </c>
      <c r="O885" t="s">
        <v>23</v>
      </c>
    </row>
    <row r="886" spans="1:15" x14ac:dyDescent="0.25">
      <c r="A886" t="s">
        <v>956</v>
      </c>
      <c r="B886" s="1">
        <v>45690</v>
      </c>
      <c r="C886" t="s">
        <v>36</v>
      </c>
      <c r="D886" t="s">
        <v>37</v>
      </c>
      <c r="E886" t="s">
        <v>38</v>
      </c>
      <c r="F886" t="s">
        <v>47</v>
      </c>
      <c r="G886" t="s">
        <v>28</v>
      </c>
      <c r="H886" t="s">
        <v>68</v>
      </c>
      <c r="I886" t="s">
        <v>69</v>
      </c>
      <c r="J886">
        <v>3</v>
      </c>
      <c r="K886">
        <v>75652</v>
      </c>
      <c r="L886">
        <v>20</v>
      </c>
      <c r="M886">
        <v>181564.79999999999</v>
      </c>
      <c r="N886">
        <v>15037.96</v>
      </c>
      <c r="O886" t="s">
        <v>23</v>
      </c>
    </row>
    <row r="887" spans="1:15" x14ac:dyDescent="0.25">
      <c r="A887" t="s">
        <v>957</v>
      </c>
      <c r="B887" s="1">
        <v>45744</v>
      </c>
      <c r="C887" t="s">
        <v>25</v>
      </c>
      <c r="D887" t="s">
        <v>61</v>
      </c>
      <c r="E887" t="s">
        <v>62</v>
      </c>
      <c r="F887" t="s">
        <v>52</v>
      </c>
      <c r="G887" t="s">
        <v>20</v>
      </c>
      <c r="H887" t="s">
        <v>40</v>
      </c>
      <c r="I887" t="s">
        <v>80</v>
      </c>
      <c r="J887">
        <v>2</v>
      </c>
      <c r="K887">
        <v>58080</v>
      </c>
      <c r="L887">
        <v>5</v>
      </c>
      <c r="M887">
        <v>110352</v>
      </c>
      <c r="N887">
        <v>8868.64</v>
      </c>
      <c r="O887" t="s">
        <v>34</v>
      </c>
    </row>
    <row r="888" spans="1:15" x14ac:dyDescent="0.25">
      <c r="A888" t="s">
        <v>958</v>
      </c>
      <c r="B888" s="1">
        <v>45744</v>
      </c>
      <c r="C888" t="s">
        <v>36</v>
      </c>
      <c r="D888" t="s">
        <v>37</v>
      </c>
      <c r="E888" t="s">
        <v>38</v>
      </c>
      <c r="F888" t="s">
        <v>93</v>
      </c>
      <c r="G888" t="s">
        <v>28</v>
      </c>
      <c r="H888" t="s">
        <v>21</v>
      </c>
      <c r="I888" t="s">
        <v>22</v>
      </c>
      <c r="J888">
        <v>9</v>
      </c>
      <c r="K888">
        <v>10170</v>
      </c>
      <c r="L888">
        <v>10</v>
      </c>
      <c r="M888">
        <v>82377</v>
      </c>
      <c r="N888">
        <v>8853.0499999999993</v>
      </c>
      <c r="O888" t="s">
        <v>34</v>
      </c>
    </row>
    <row r="889" spans="1:15" x14ac:dyDescent="0.25">
      <c r="A889" t="s">
        <v>959</v>
      </c>
      <c r="B889" s="1">
        <v>45889</v>
      </c>
      <c r="C889" t="s">
        <v>25</v>
      </c>
      <c r="D889" t="s">
        <v>26</v>
      </c>
      <c r="E889" t="s">
        <v>27</v>
      </c>
      <c r="F889" t="s">
        <v>47</v>
      </c>
      <c r="G889" t="s">
        <v>20</v>
      </c>
      <c r="H889" t="s">
        <v>77</v>
      </c>
      <c r="I889" t="s">
        <v>88</v>
      </c>
      <c r="J889">
        <v>8</v>
      </c>
      <c r="K889">
        <v>3767</v>
      </c>
      <c r="L889">
        <v>20</v>
      </c>
      <c r="M889">
        <v>24108.799999999999</v>
      </c>
      <c r="N889">
        <v>4883.8999999999996</v>
      </c>
      <c r="O889" t="s">
        <v>23</v>
      </c>
    </row>
    <row r="890" spans="1:15" x14ac:dyDescent="0.25">
      <c r="A890" t="s">
        <v>960</v>
      </c>
      <c r="B890" s="1">
        <v>45832</v>
      </c>
      <c r="C890" t="s">
        <v>36</v>
      </c>
      <c r="D890" t="s">
        <v>37</v>
      </c>
      <c r="E890" t="s">
        <v>38</v>
      </c>
      <c r="F890" t="s">
        <v>19</v>
      </c>
      <c r="G890" t="s">
        <v>20</v>
      </c>
      <c r="H890" t="s">
        <v>77</v>
      </c>
      <c r="I890" t="s">
        <v>88</v>
      </c>
      <c r="J890">
        <v>2</v>
      </c>
      <c r="K890">
        <v>2102</v>
      </c>
      <c r="L890">
        <v>10</v>
      </c>
      <c r="M890">
        <v>3783.6</v>
      </c>
      <c r="N890">
        <v>588.91999999999996</v>
      </c>
      <c r="O890" t="s">
        <v>31</v>
      </c>
    </row>
    <row r="891" spans="1:15" x14ac:dyDescent="0.25">
      <c r="A891" t="s">
        <v>961</v>
      </c>
      <c r="B891" s="1">
        <v>45666</v>
      </c>
      <c r="C891" t="s">
        <v>36</v>
      </c>
      <c r="D891" t="s">
        <v>50</v>
      </c>
      <c r="E891" t="s">
        <v>51</v>
      </c>
      <c r="F891" t="s">
        <v>93</v>
      </c>
      <c r="G891" t="s">
        <v>20</v>
      </c>
      <c r="H891" t="s">
        <v>29</v>
      </c>
      <c r="I891" t="s">
        <v>30</v>
      </c>
      <c r="J891">
        <v>6</v>
      </c>
      <c r="K891">
        <v>10412</v>
      </c>
      <c r="L891">
        <v>10</v>
      </c>
      <c r="M891">
        <v>56224.800000000003</v>
      </c>
      <c r="N891">
        <v>5967.86</v>
      </c>
      <c r="O891" t="s">
        <v>31</v>
      </c>
    </row>
    <row r="892" spans="1:15" x14ac:dyDescent="0.25">
      <c r="A892" t="s">
        <v>962</v>
      </c>
      <c r="B892" s="1">
        <v>45818</v>
      </c>
      <c r="C892" t="s">
        <v>65</v>
      </c>
      <c r="D892" t="s">
        <v>82</v>
      </c>
      <c r="E892" t="s">
        <v>83</v>
      </c>
      <c r="F892" t="s">
        <v>72</v>
      </c>
      <c r="G892" t="s">
        <v>20</v>
      </c>
      <c r="H892" t="s">
        <v>29</v>
      </c>
      <c r="I892" t="s">
        <v>48</v>
      </c>
      <c r="J892">
        <v>7</v>
      </c>
      <c r="K892">
        <v>78062</v>
      </c>
      <c r="L892">
        <v>10</v>
      </c>
      <c r="M892">
        <v>491790.6</v>
      </c>
      <c r="N892">
        <v>76041.56</v>
      </c>
      <c r="O892" t="s">
        <v>42</v>
      </c>
    </row>
    <row r="893" spans="1:15" x14ac:dyDescent="0.25">
      <c r="A893" t="s">
        <v>963</v>
      </c>
      <c r="B893" s="1">
        <v>45842</v>
      </c>
      <c r="C893" t="s">
        <v>25</v>
      </c>
      <c r="D893" t="s">
        <v>26</v>
      </c>
      <c r="E893" t="s">
        <v>27</v>
      </c>
      <c r="F893" t="s">
        <v>52</v>
      </c>
      <c r="G893" t="s">
        <v>20</v>
      </c>
      <c r="H893" t="s">
        <v>77</v>
      </c>
      <c r="I893" t="s">
        <v>78</v>
      </c>
      <c r="J893">
        <v>3</v>
      </c>
      <c r="K893">
        <v>55298</v>
      </c>
      <c r="L893">
        <v>20</v>
      </c>
      <c r="M893">
        <v>132715.20000000001</v>
      </c>
      <c r="N893">
        <v>16270.04</v>
      </c>
      <c r="O893" t="s">
        <v>34</v>
      </c>
    </row>
    <row r="894" spans="1:15" x14ac:dyDescent="0.25">
      <c r="A894" t="s">
        <v>964</v>
      </c>
      <c r="B894" s="1">
        <v>45683</v>
      </c>
      <c r="C894" t="s">
        <v>36</v>
      </c>
      <c r="D894" t="s">
        <v>37</v>
      </c>
      <c r="E894" t="s">
        <v>38</v>
      </c>
      <c r="F894" t="s">
        <v>47</v>
      </c>
      <c r="G894" t="s">
        <v>20</v>
      </c>
      <c r="H894" t="s">
        <v>68</v>
      </c>
      <c r="I894" t="s">
        <v>94</v>
      </c>
      <c r="J894">
        <v>3</v>
      </c>
      <c r="K894">
        <v>67718</v>
      </c>
      <c r="L894">
        <v>0</v>
      </c>
      <c r="M894">
        <v>203154</v>
      </c>
      <c r="N894">
        <v>35770.97</v>
      </c>
      <c r="O894" t="s">
        <v>42</v>
      </c>
    </row>
    <row r="895" spans="1:15" x14ac:dyDescent="0.25">
      <c r="A895" t="s">
        <v>965</v>
      </c>
      <c r="B895" s="1">
        <v>45989</v>
      </c>
      <c r="C895" t="s">
        <v>16</v>
      </c>
      <c r="D895" t="s">
        <v>106</v>
      </c>
      <c r="E895" t="s">
        <v>107</v>
      </c>
      <c r="F895" t="s">
        <v>72</v>
      </c>
      <c r="G895" t="s">
        <v>28</v>
      </c>
      <c r="H895" t="s">
        <v>29</v>
      </c>
      <c r="I895" t="s">
        <v>30</v>
      </c>
      <c r="J895">
        <v>6</v>
      </c>
      <c r="K895">
        <v>67576</v>
      </c>
      <c r="L895">
        <v>0</v>
      </c>
      <c r="M895">
        <v>405456</v>
      </c>
      <c r="N895">
        <v>93850.57</v>
      </c>
      <c r="O895" t="s">
        <v>34</v>
      </c>
    </row>
    <row r="896" spans="1:15" x14ac:dyDescent="0.25">
      <c r="A896" t="s">
        <v>966</v>
      </c>
      <c r="B896" s="1">
        <v>45720</v>
      </c>
      <c r="C896" t="s">
        <v>65</v>
      </c>
      <c r="D896" t="s">
        <v>82</v>
      </c>
      <c r="E896" t="s">
        <v>83</v>
      </c>
      <c r="F896" t="s">
        <v>52</v>
      </c>
      <c r="G896" t="s">
        <v>20</v>
      </c>
      <c r="H896" t="s">
        <v>77</v>
      </c>
      <c r="I896" t="s">
        <v>100</v>
      </c>
      <c r="J896">
        <v>1</v>
      </c>
      <c r="K896">
        <v>19568</v>
      </c>
      <c r="L896">
        <v>10</v>
      </c>
      <c r="M896">
        <v>17611.2</v>
      </c>
      <c r="N896">
        <v>3543.87</v>
      </c>
      <c r="O896" t="s">
        <v>42</v>
      </c>
    </row>
    <row r="897" spans="1:15" x14ac:dyDescent="0.25">
      <c r="A897" t="s">
        <v>967</v>
      </c>
      <c r="B897" s="1">
        <v>45945</v>
      </c>
      <c r="C897" t="s">
        <v>25</v>
      </c>
      <c r="D897" t="s">
        <v>61</v>
      </c>
      <c r="E897" t="s">
        <v>62</v>
      </c>
      <c r="F897" t="s">
        <v>19</v>
      </c>
      <c r="G897" t="s">
        <v>20</v>
      </c>
      <c r="H897" t="s">
        <v>29</v>
      </c>
      <c r="I897" t="s">
        <v>48</v>
      </c>
      <c r="J897">
        <v>9</v>
      </c>
      <c r="K897">
        <v>35243</v>
      </c>
      <c r="L897">
        <v>0</v>
      </c>
      <c r="M897">
        <v>317187</v>
      </c>
      <c r="N897">
        <v>53192.11</v>
      </c>
      <c r="O897" t="s">
        <v>31</v>
      </c>
    </row>
    <row r="898" spans="1:15" x14ac:dyDescent="0.25">
      <c r="A898" t="s">
        <v>968</v>
      </c>
      <c r="B898" s="1">
        <v>45688</v>
      </c>
      <c r="C898" t="s">
        <v>36</v>
      </c>
      <c r="D898" t="s">
        <v>37</v>
      </c>
      <c r="E898" t="s">
        <v>38</v>
      </c>
      <c r="F898" t="s">
        <v>19</v>
      </c>
      <c r="G898" t="s">
        <v>20</v>
      </c>
      <c r="H898" t="s">
        <v>21</v>
      </c>
      <c r="I898" t="s">
        <v>45</v>
      </c>
      <c r="J898">
        <v>5</v>
      </c>
      <c r="K898">
        <v>45505</v>
      </c>
      <c r="L898">
        <v>15</v>
      </c>
      <c r="M898">
        <v>193396.25</v>
      </c>
      <c r="N898">
        <v>43876.11</v>
      </c>
      <c r="O898" t="s">
        <v>23</v>
      </c>
    </row>
    <row r="899" spans="1:15" x14ac:dyDescent="0.25">
      <c r="A899" t="s">
        <v>969</v>
      </c>
      <c r="B899" s="1">
        <v>45687</v>
      </c>
      <c r="C899" t="s">
        <v>36</v>
      </c>
      <c r="D899" t="s">
        <v>85</v>
      </c>
      <c r="E899" t="s">
        <v>86</v>
      </c>
      <c r="F899" t="s">
        <v>52</v>
      </c>
      <c r="G899" t="s">
        <v>28</v>
      </c>
      <c r="H899" t="s">
        <v>40</v>
      </c>
      <c r="I899" t="s">
        <v>41</v>
      </c>
      <c r="J899">
        <v>3</v>
      </c>
      <c r="K899">
        <v>65351</v>
      </c>
      <c r="L899">
        <v>15</v>
      </c>
      <c r="M899">
        <v>166645.04999999999</v>
      </c>
      <c r="N899">
        <v>15360.88</v>
      </c>
      <c r="O899" t="s">
        <v>23</v>
      </c>
    </row>
    <row r="900" spans="1:15" x14ac:dyDescent="0.25">
      <c r="A900" t="s">
        <v>970</v>
      </c>
      <c r="B900" s="1">
        <v>45969</v>
      </c>
      <c r="C900" t="s">
        <v>16</v>
      </c>
      <c r="D900" t="s">
        <v>17</v>
      </c>
      <c r="E900" t="s">
        <v>18</v>
      </c>
      <c r="F900" t="s">
        <v>72</v>
      </c>
      <c r="G900" t="s">
        <v>20</v>
      </c>
      <c r="H900" t="s">
        <v>77</v>
      </c>
      <c r="I900" t="s">
        <v>78</v>
      </c>
      <c r="J900">
        <v>4</v>
      </c>
      <c r="K900">
        <v>28954</v>
      </c>
      <c r="L900">
        <v>20</v>
      </c>
      <c r="M900">
        <v>92652.800000000003</v>
      </c>
      <c r="N900">
        <v>18334.14</v>
      </c>
      <c r="O900" t="s">
        <v>34</v>
      </c>
    </row>
    <row r="901" spans="1:15" x14ac:dyDescent="0.25">
      <c r="A901" t="s">
        <v>971</v>
      </c>
      <c r="B901" s="1">
        <v>45833</v>
      </c>
      <c r="C901" t="s">
        <v>65</v>
      </c>
      <c r="D901" t="s">
        <v>82</v>
      </c>
      <c r="E901" t="s">
        <v>83</v>
      </c>
      <c r="F901" t="s">
        <v>47</v>
      </c>
      <c r="G901" t="s">
        <v>28</v>
      </c>
      <c r="H901" t="s">
        <v>68</v>
      </c>
      <c r="I901" t="s">
        <v>69</v>
      </c>
      <c r="J901">
        <v>3</v>
      </c>
      <c r="K901">
        <v>74890</v>
      </c>
      <c r="L901">
        <v>10</v>
      </c>
      <c r="M901">
        <v>202203</v>
      </c>
      <c r="N901">
        <v>27909.68</v>
      </c>
      <c r="O901" t="s">
        <v>31</v>
      </c>
    </row>
    <row r="902" spans="1:15" x14ac:dyDescent="0.25">
      <c r="A902" t="s">
        <v>972</v>
      </c>
      <c r="B902" s="1">
        <v>45863</v>
      </c>
      <c r="C902" t="s">
        <v>25</v>
      </c>
      <c r="D902" t="s">
        <v>26</v>
      </c>
      <c r="E902" t="s">
        <v>27</v>
      </c>
      <c r="F902" t="s">
        <v>93</v>
      </c>
      <c r="G902" t="s">
        <v>20</v>
      </c>
      <c r="H902" t="s">
        <v>68</v>
      </c>
      <c r="I902" t="s">
        <v>94</v>
      </c>
      <c r="J902">
        <v>4</v>
      </c>
      <c r="K902">
        <v>59343</v>
      </c>
      <c r="L902">
        <v>20</v>
      </c>
      <c r="M902">
        <v>189897.60000000001</v>
      </c>
      <c r="N902">
        <v>25195.42</v>
      </c>
      <c r="O902" t="s">
        <v>42</v>
      </c>
    </row>
    <row r="903" spans="1:15" x14ac:dyDescent="0.25">
      <c r="A903" t="s">
        <v>973</v>
      </c>
      <c r="B903" s="1">
        <v>45932</v>
      </c>
      <c r="C903" t="s">
        <v>25</v>
      </c>
      <c r="D903" t="s">
        <v>26</v>
      </c>
      <c r="E903" t="s">
        <v>27</v>
      </c>
      <c r="F903" t="s">
        <v>19</v>
      </c>
      <c r="G903" t="s">
        <v>20</v>
      </c>
      <c r="H903" t="s">
        <v>21</v>
      </c>
      <c r="I903" t="s">
        <v>22</v>
      </c>
      <c r="J903">
        <v>8</v>
      </c>
      <c r="K903">
        <v>52390</v>
      </c>
      <c r="L903">
        <v>15</v>
      </c>
      <c r="M903">
        <v>356252</v>
      </c>
      <c r="N903">
        <v>85179.51</v>
      </c>
      <c r="O903" t="s">
        <v>34</v>
      </c>
    </row>
    <row r="904" spans="1:15" x14ac:dyDescent="0.25">
      <c r="A904" t="s">
        <v>974</v>
      </c>
      <c r="B904" s="1">
        <v>46003</v>
      </c>
      <c r="C904" t="s">
        <v>25</v>
      </c>
      <c r="D904" t="s">
        <v>61</v>
      </c>
      <c r="E904" t="s">
        <v>62</v>
      </c>
      <c r="F904" t="s">
        <v>39</v>
      </c>
      <c r="G904" t="s">
        <v>28</v>
      </c>
      <c r="H904" t="s">
        <v>21</v>
      </c>
      <c r="I904" t="s">
        <v>45</v>
      </c>
      <c r="J904">
        <v>1</v>
      </c>
      <c r="K904">
        <v>12568</v>
      </c>
      <c r="L904">
        <v>5</v>
      </c>
      <c r="M904">
        <v>11939.6</v>
      </c>
      <c r="N904">
        <v>970.95</v>
      </c>
      <c r="O904" t="s">
        <v>31</v>
      </c>
    </row>
    <row r="905" spans="1:15" x14ac:dyDescent="0.25">
      <c r="A905" t="s">
        <v>975</v>
      </c>
      <c r="B905" s="1">
        <v>45919</v>
      </c>
      <c r="C905" t="s">
        <v>25</v>
      </c>
      <c r="D905" t="s">
        <v>61</v>
      </c>
      <c r="E905" t="s">
        <v>62</v>
      </c>
      <c r="F905" t="s">
        <v>63</v>
      </c>
      <c r="G905" t="s">
        <v>20</v>
      </c>
      <c r="H905" t="s">
        <v>40</v>
      </c>
      <c r="I905" t="s">
        <v>41</v>
      </c>
      <c r="J905">
        <v>7</v>
      </c>
      <c r="K905">
        <v>48748</v>
      </c>
      <c r="L905">
        <v>20</v>
      </c>
      <c r="M905">
        <v>272988.79999999999</v>
      </c>
      <c r="N905">
        <v>30568.27</v>
      </c>
      <c r="O905" t="s">
        <v>42</v>
      </c>
    </row>
    <row r="906" spans="1:15" x14ac:dyDescent="0.25">
      <c r="A906" t="s">
        <v>976</v>
      </c>
      <c r="B906" s="1">
        <v>45798</v>
      </c>
      <c r="C906" t="s">
        <v>36</v>
      </c>
      <c r="D906" t="s">
        <v>37</v>
      </c>
      <c r="E906" t="s">
        <v>38</v>
      </c>
      <c r="F906" t="s">
        <v>93</v>
      </c>
      <c r="G906" t="s">
        <v>28</v>
      </c>
      <c r="H906" t="s">
        <v>68</v>
      </c>
      <c r="I906" t="s">
        <v>94</v>
      </c>
      <c r="J906">
        <v>9</v>
      </c>
      <c r="K906">
        <v>9658</v>
      </c>
      <c r="L906">
        <v>10</v>
      </c>
      <c r="M906">
        <v>78229.8</v>
      </c>
      <c r="N906">
        <v>18636.669999999998</v>
      </c>
      <c r="O906" t="s">
        <v>31</v>
      </c>
    </row>
    <row r="907" spans="1:15" x14ac:dyDescent="0.25">
      <c r="A907" t="s">
        <v>977</v>
      </c>
      <c r="B907" s="1">
        <v>45981</v>
      </c>
      <c r="C907" t="s">
        <v>65</v>
      </c>
      <c r="D907" t="s">
        <v>82</v>
      </c>
      <c r="E907" t="s">
        <v>83</v>
      </c>
      <c r="F907" t="s">
        <v>63</v>
      </c>
      <c r="G907" t="s">
        <v>28</v>
      </c>
      <c r="H907" t="s">
        <v>40</v>
      </c>
      <c r="I907" t="s">
        <v>80</v>
      </c>
      <c r="J907">
        <v>10</v>
      </c>
      <c r="K907">
        <v>37877</v>
      </c>
      <c r="L907">
        <v>15</v>
      </c>
      <c r="M907">
        <v>321954.5</v>
      </c>
      <c r="N907">
        <v>40880.78</v>
      </c>
      <c r="O907" t="s">
        <v>34</v>
      </c>
    </row>
    <row r="908" spans="1:15" x14ac:dyDescent="0.25">
      <c r="A908" t="s">
        <v>978</v>
      </c>
      <c r="B908" s="1">
        <v>45766</v>
      </c>
      <c r="C908" t="s">
        <v>25</v>
      </c>
      <c r="D908" t="s">
        <v>26</v>
      </c>
      <c r="E908" t="s">
        <v>27</v>
      </c>
      <c r="F908" t="s">
        <v>19</v>
      </c>
      <c r="G908" t="s">
        <v>20</v>
      </c>
      <c r="H908" t="s">
        <v>29</v>
      </c>
      <c r="I908" t="s">
        <v>30</v>
      </c>
      <c r="J908">
        <v>5</v>
      </c>
      <c r="K908">
        <v>15082</v>
      </c>
      <c r="L908">
        <v>5</v>
      </c>
      <c r="M908">
        <v>71639.5</v>
      </c>
      <c r="N908">
        <v>13289.41</v>
      </c>
      <c r="O908" t="s">
        <v>42</v>
      </c>
    </row>
    <row r="909" spans="1:15" x14ac:dyDescent="0.25">
      <c r="A909" t="s">
        <v>979</v>
      </c>
      <c r="B909" s="1">
        <v>45714</v>
      </c>
      <c r="C909" t="s">
        <v>16</v>
      </c>
      <c r="D909" t="s">
        <v>17</v>
      </c>
      <c r="E909" t="s">
        <v>18</v>
      </c>
      <c r="F909" t="s">
        <v>63</v>
      </c>
      <c r="G909" t="s">
        <v>20</v>
      </c>
      <c r="H909" t="s">
        <v>29</v>
      </c>
      <c r="I909" t="s">
        <v>30</v>
      </c>
      <c r="J909">
        <v>9</v>
      </c>
      <c r="K909">
        <v>40921</v>
      </c>
      <c r="L909">
        <v>20</v>
      </c>
      <c r="M909">
        <v>294631.2</v>
      </c>
      <c r="N909">
        <v>39059.17</v>
      </c>
      <c r="O909" t="s">
        <v>23</v>
      </c>
    </row>
    <row r="910" spans="1:15" x14ac:dyDescent="0.25">
      <c r="A910" t="s">
        <v>980</v>
      </c>
      <c r="B910" s="1">
        <v>45911</v>
      </c>
      <c r="C910" t="s">
        <v>16</v>
      </c>
      <c r="D910" t="s">
        <v>106</v>
      </c>
      <c r="E910" t="s">
        <v>107</v>
      </c>
      <c r="F910" t="s">
        <v>33</v>
      </c>
      <c r="G910" t="s">
        <v>20</v>
      </c>
      <c r="H910" t="s">
        <v>29</v>
      </c>
      <c r="I910" t="s">
        <v>53</v>
      </c>
      <c r="J910">
        <v>7</v>
      </c>
      <c r="K910">
        <v>69796</v>
      </c>
      <c r="L910">
        <v>5</v>
      </c>
      <c r="M910">
        <v>464143.4</v>
      </c>
      <c r="N910">
        <v>65969.45</v>
      </c>
      <c r="O910" t="s">
        <v>42</v>
      </c>
    </row>
    <row r="911" spans="1:15" x14ac:dyDescent="0.25">
      <c r="A911" t="s">
        <v>981</v>
      </c>
      <c r="B911" s="1">
        <v>45925</v>
      </c>
      <c r="C911" t="s">
        <v>25</v>
      </c>
      <c r="D911" t="s">
        <v>26</v>
      </c>
      <c r="E911" t="s">
        <v>27</v>
      </c>
      <c r="F911" t="s">
        <v>93</v>
      </c>
      <c r="G911" t="s">
        <v>20</v>
      </c>
      <c r="H911" t="s">
        <v>21</v>
      </c>
      <c r="I911" t="s">
        <v>45</v>
      </c>
      <c r="J911">
        <v>10</v>
      </c>
      <c r="K911">
        <v>18926</v>
      </c>
      <c r="L911">
        <v>5</v>
      </c>
      <c r="M911">
        <v>179797</v>
      </c>
      <c r="N911">
        <v>24725.11</v>
      </c>
      <c r="O911" t="s">
        <v>23</v>
      </c>
    </row>
    <row r="912" spans="1:15" x14ac:dyDescent="0.25">
      <c r="A912" t="s">
        <v>982</v>
      </c>
      <c r="B912" s="1">
        <v>45739</v>
      </c>
      <c r="C912" t="s">
        <v>36</v>
      </c>
      <c r="D912" t="s">
        <v>85</v>
      </c>
      <c r="E912" t="s">
        <v>86</v>
      </c>
      <c r="F912" t="s">
        <v>93</v>
      </c>
      <c r="G912" t="s">
        <v>20</v>
      </c>
      <c r="H912" t="s">
        <v>40</v>
      </c>
      <c r="I912" t="s">
        <v>59</v>
      </c>
      <c r="J912">
        <v>4</v>
      </c>
      <c r="K912">
        <v>23293</v>
      </c>
      <c r="L912">
        <v>10</v>
      </c>
      <c r="M912">
        <v>83854.8</v>
      </c>
      <c r="N912">
        <v>13834.78</v>
      </c>
      <c r="O912" t="s">
        <v>23</v>
      </c>
    </row>
    <row r="913" spans="1:15" x14ac:dyDescent="0.25">
      <c r="A913" t="s">
        <v>983</v>
      </c>
      <c r="B913" s="1">
        <v>45830</v>
      </c>
      <c r="C913" t="s">
        <v>25</v>
      </c>
      <c r="D913" t="s">
        <v>26</v>
      </c>
      <c r="E913" t="s">
        <v>27</v>
      </c>
      <c r="F913" t="s">
        <v>19</v>
      </c>
      <c r="G913" t="s">
        <v>20</v>
      </c>
      <c r="H913" t="s">
        <v>21</v>
      </c>
      <c r="I913" t="s">
        <v>56</v>
      </c>
      <c r="J913">
        <v>4</v>
      </c>
      <c r="K913">
        <v>56162</v>
      </c>
      <c r="L913">
        <v>20</v>
      </c>
      <c r="M913">
        <v>179718.39999999999</v>
      </c>
      <c r="N913">
        <v>27763.32</v>
      </c>
      <c r="O913" t="s">
        <v>23</v>
      </c>
    </row>
    <row r="914" spans="1:15" x14ac:dyDescent="0.25">
      <c r="A914" t="s">
        <v>984</v>
      </c>
      <c r="B914" s="1">
        <v>45984</v>
      </c>
      <c r="C914" t="s">
        <v>25</v>
      </c>
      <c r="D914" t="s">
        <v>61</v>
      </c>
      <c r="E914" t="s">
        <v>62</v>
      </c>
      <c r="F914" t="s">
        <v>47</v>
      </c>
      <c r="G914" t="s">
        <v>28</v>
      </c>
      <c r="H914" t="s">
        <v>68</v>
      </c>
      <c r="I914" t="s">
        <v>90</v>
      </c>
      <c r="J914">
        <v>10</v>
      </c>
      <c r="K914">
        <v>74617</v>
      </c>
      <c r="L914">
        <v>15</v>
      </c>
      <c r="M914">
        <v>634244.5</v>
      </c>
      <c r="N914">
        <v>59972.09</v>
      </c>
      <c r="O914" t="s">
        <v>23</v>
      </c>
    </row>
    <row r="915" spans="1:15" x14ac:dyDescent="0.25">
      <c r="A915" t="s">
        <v>985</v>
      </c>
      <c r="B915" s="1">
        <v>45939</v>
      </c>
      <c r="C915" t="s">
        <v>25</v>
      </c>
      <c r="D915" t="s">
        <v>61</v>
      </c>
      <c r="E915" t="s">
        <v>62</v>
      </c>
      <c r="F915" t="s">
        <v>93</v>
      </c>
      <c r="G915" t="s">
        <v>20</v>
      </c>
      <c r="H915" t="s">
        <v>68</v>
      </c>
      <c r="I915" t="s">
        <v>94</v>
      </c>
      <c r="J915">
        <v>2</v>
      </c>
      <c r="K915">
        <v>5715</v>
      </c>
      <c r="L915">
        <v>20</v>
      </c>
      <c r="M915">
        <v>9144</v>
      </c>
      <c r="N915">
        <v>1255.9000000000001</v>
      </c>
      <c r="O915" t="s">
        <v>31</v>
      </c>
    </row>
    <row r="916" spans="1:15" x14ac:dyDescent="0.25">
      <c r="A916" t="s">
        <v>986</v>
      </c>
      <c r="B916" s="1">
        <v>45730</v>
      </c>
      <c r="C916" t="s">
        <v>65</v>
      </c>
      <c r="D916" t="s">
        <v>82</v>
      </c>
      <c r="E916" t="s">
        <v>83</v>
      </c>
      <c r="F916" t="s">
        <v>93</v>
      </c>
      <c r="G916" t="s">
        <v>20</v>
      </c>
      <c r="H916" t="s">
        <v>77</v>
      </c>
      <c r="I916" t="s">
        <v>88</v>
      </c>
      <c r="J916">
        <v>9</v>
      </c>
      <c r="K916">
        <v>23565</v>
      </c>
      <c r="L916">
        <v>5</v>
      </c>
      <c r="M916">
        <v>201480.75</v>
      </c>
      <c r="N916">
        <v>38046.639999999999</v>
      </c>
      <c r="O916" t="s">
        <v>42</v>
      </c>
    </row>
    <row r="917" spans="1:15" x14ac:dyDescent="0.25">
      <c r="A917" t="s">
        <v>987</v>
      </c>
      <c r="B917" s="1">
        <v>45839</v>
      </c>
      <c r="C917" t="s">
        <v>25</v>
      </c>
      <c r="D917" t="s">
        <v>26</v>
      </c>
      <c r="E917" t="s">
        <v>27</v>
      </c>
      <c r="F917" t="s">
        <v>47</v>
      </c>
      <c r="G917" t="s">
        <v>28</v>
      </c>
      <c r="H917" t="s">
        <v>77</v>
      </c>
      <c r="I917" t="s">
        <v>88</v>
      </c>
      <c r="J917">
        <v>4</v>
      </c>
      <c r="K917">
        <v>29381</v>
      </c>
      <c r="L917">
        <v>15</v>
      </c>
      <c r="M917">
        <v>99895.4</v>
      </c>
      <c r="N917">
        <v>13732.23</v>
      </c>
      <c r="O917" t="s">
        <v>42</v>
      </c>
    </row>
    <row r="918" spans="1:15" x14ac:dyDescent="0.25">
      <c r="A918" t="s">
        <v>988</v>
      </c>
      <c r="B918" s="1">
        <v>45899</v>
      </c>
      <c r="C918" t="s">
        <v>65</v>
      </c>
      <c r="D918" t="s">
        <v>66</v>
      </c>
      <c r="E918" t="s">
        <v>67</v>
      </c>
      <c r="F918" t="s">
        <v>63</v>
      </c>
      <c r="G918" t="s">
        <v>20</v>
      </c>
      <c r="H918" t="s">
        <v>29</v>
      </c>
      <c r="I918" t="s">
        <v>48</v>
      </c>
      <c r="J918">
        <v>5</v>
      </c>
      <c r="K918">
        <v>39166</v>
      </c>
      <c r="L918">
        <v>5</v>
      </c>
      <c r="M918">
        <v>186038.5</v>
      </c>
      <c r="N918">
        <v>18360.169999999998</v>
      </c>
      <c r="O918" t="s">
        <v>34</v>
      </c>
    </row>
    <row r="919" spans="1:15" x14ac:dyDescent="0.25">
      <c r="A919" t="s">
        <v>989</v>
      </c>
      <c r="B919" s="1">
        <v>45939</v>
      </c>
      <c r="C919" t="s">
        <v>16</v>
      </c>
      <c r="D919" t="s">
        <v>17</v>
      </c>
      <c r="E919" t="s">
        <v>18</v>
      </c>
      <c r="F919" t="s">
        <v>93</v>
      </c>
      <c r="G919" t="s">
        <v>28</v>
      </c>
      <c r="H919" t="s">
        <v>77</v>
      </c>
      <c r="I919" t="s">
        <v>78</v>
      </c>
      <c r="J919">
        <v>1</v>
      </c>
      <c r="K919">
        <v>64350</v>
      </c>
      <c r="L919">
        <v>5</v>
      </c>
      <c r="M919">
        <v>61132.5</v>
      </c>
      <c r="N919">
        <v>11624.43</v>
      </c>
      <c r="O919" t="s">
        <v>31</v>
      </c>
    </row>
    <row r="920" spans="1:15" x14ac:dyDescent="0.25">
      <c r="A920" t="s">
        <v>990</v>
      </c>
      <c r="B920" s="1">
        <v>45788</v>
      </c>
      <c r="C920" t="s">
        <v>25</v>
      </c>
      <c r="D920" t="s">
        <v>61</v>
      </c>
      <c r="E920" t="s">
        <v>62</v>
      </c>
      <c r="F920" t="s">
        <v>33</v>
      </c>
      <c r="G920" t="s">
        <v>28</v>
      </c>
      <c r="H920" t="s">
        <v>29</v>
      </c>
      <c r="I920" t="s">
        <v>53</v>
      </c>
      <c r="J920">
        <v>8</v>
      </c>
      <c r="K920">
        <v>12336</v>
      </c>
      <c r="L920">
        <v>10</v>
      </c>
      <c r="M920">
        <v>88819.199999999997</v>
      </c>
      <c r="N920">
        <v>7212.43</v>
      </c>
      <c r="O920" t="s">
        <v>31</v>
      </c>
    </row>
    <row r="921" spans="1:15" x14ac:dyDescent="0.25">
      <c r="A921" t="s">
        <v>991</v>
      </c>
      <c r="B921" s="1">
        <v>45775</v>
      </c>
      <c r="C921" t="s">
        <v>36</v>
      </c>
      <c r="D921" t="s">
        <v>37</v>
      </c>
      <c r="E921" t="s">
        <v>38</v>
      </c>
      <c r="F921" t="s">
        <v>47</v>
      </c>
      <c r="G921" t="s">
        <v>28</v>
      </c>
      <c r="H921" t="s">
        <v>40</v>
      </c>
      <c r="I921" t="s">
        <v>41</v>
      </c>
      <c r="J921">
        <v>1</v>
      </c>
      <c r="K921">
        <v>71691</v>
      </c>
      <c r="L921">
        <v>20</v>
      </c>
      <c r="M921">
        <v>57352.800000000003</v>
      </c>
      <c r="N921">
        <v>7192.18</v>
      </c>
      <c r="O921" t="s">
        <v>23</v>
      </c>
    </row>
    <row r="922" spans="1:15" x14ac:dyDescent="0.25">
      <c r="A922" t="s">
        <v>992</v>
      </c>
      <c r="B922" s="1">
        <v>45688</v>
      </c>
      <c r="C922" t="s">
        <v>25</v>
      </c>
      <c r="D922" t="s">
        <v>61</v>
      </c>
      <c r="E922" t="s">
        <v>62</v>
      </c>
      <c r="F922" t="s">
        <v>63</v>
      </c>
      <c r="G922" t="s">
        <v>28</v>
      </c>
      <c r="H922" t="s">
        <v>29</v>
      </c>
      <c r="I922" t="s">
        <v>30</v>
      </c>
      <c r="J922">
        <v>4</v>
      </c>
      <c r="K922">
        <v>64347</v>
      </c>
      <c r="L922">
        <v>20</v>
      </c>
      <c r="M922">
        <v>205910.39999999999</v>
      </c>
      <c r="N922">
        <v>22602.82</v>
      </c>
      <c r="O922" t="s">
        <v>34</v>
      </c>
    </row>
    <row r="923" spans="1:15" x14ac:dyDescent="0.25">
      <c r="A923" t="s">
        <v>993</v>
      </c>
      <c r="B923" s="1">
        <v>45777</v>
      </c>
      <c r="C923" t="s">
        <v>36</v>
      </c>
      <c r="D923" t="s">
        <v>37</v>
      </c>
      <c r="E923" t="s">
        <v>38</v>
      </c>
      <c r="F923" t="s">
        <v>52</v>
      </c>
      <c r="G923" t="s">
        <v>28</v>
      </c>
      <c r="H923" t="s">
        <v>29</v>
      </c>
      <c r="I923" t="s">
        <v>48</v>
      </c>
      <c r="J923">
        <v>4</v>
      </c>
      <c r="K923">
        <v>51609</v>
      </c>
      <c r="L923">
        <v>5</v>
      </c>
      <c r="M923">
        <v>196114.2</v>
      </c>
      <c r="N923">
        <v>34178.629999999997</v>
      </c>
      <c r="O923" t="s">
        <v>31</v>
      </c>
    </row>
    <row r="924" spans="1:15" x14ac:dyDescent="0.25">
      <c r="A924" t="s">
        <v>994</v>
      </c>
      <c r="B924" s="1">
        <v>45749</v>
      </c>
      <c r="C924" t="s">
        <v>16</v>
      </c>
      <c r="D924" t="s">
        <v>106</v>
      </c>
      <c r="E924" t="s">
        <v>107</v>
      </c>
      <c r="F924" t="s">
        <v>93</v>
      </c>
      <c r="G924" t="s">
        <v>20</v>
      </c>
      <c r="H924" t="s">
        <v>21</v>
      </c>
      <c r="I924" t="s">
        <v>45</v>
      </c>
      <c r="J924">
        <v>2</v>
      </c>
      <c r="K924">
        <v>35483</v>
      </c>
      <c r="L924">
        <v>15</v>
      </c>
      <c r="M924">
        <v>60321.1</v>
      </c>
      <c r="N924">
        <v>12593.42</v>
      </c>
      <c r="O924" t="s">
        <v>23</v>
      </c>
    </row>
    <row r="925" spans="1:15" x14ac:dyDescent="0.25">
      <c r="A925" t="s">
        <v>995</v>
      </c>
      <c r="B925" s="1">
        <v>45873</v>
      </c>
      <c r="C925" t="s">
        <v>36</v>
      </c>
      <c r="D925" t="s">
        <v>37</v>
      </c>
      <c r="E925" t="s">
        <v>38</v>
      </c>
      <c r="F925" t="s">
        <v>39</v>
      </c>
      <c r="G925" t="s">
        <v>20</v>
      </c>
      <c r="H925" t="s">
        <v>21</v>
      </c>
      <c r="I925" t="s">
        <v>22</v>
      </c>
      <c r="J925">
        <v>2</v>
      </c>
      <c r="K925">
        <v>62244</v>
      </c>
      <c r="L925">
        <v>5</v>
      </c>
      <c r="M925">
        <v>118263.6</v>
      </c>
      <c r="N925">
        <v>11090.69</v>
      </c>
      <c r="O925" t="s">
        <v>34</v>
      </c>
    </row>
    <row r="926" spans="1:15" x14ac:dyDescent="0.25">
      <c r="A926" t="s">
        <v>996</v>
      </c>
      <c r="B926" s="1">
        <v>46021</v>
      </c>
      <c r="C926" t="s">
        <v>25</v>
      </c>
      <c r="D926" t="s">
        <v>26</v>
      </c>
      <c r="E926" t="s">
        <v>27</v>
      </c>
      <c r="F926" t="s">
        <v>33</v>
      </c>
      <c r="G926" t="s">
        <v>20</v>
      </c>
      <c r="H926" t="s">
        <v>21</v>
      </c>
      <c r="I926" t="s">
        <v>45</v>
      </c>
      <c r="J926">
        <v>6</v>
      </c>
      <c r="K926">
        <v>75694</v>
      </c>
      <c r="L926">
        <v>10</v>
      </c>
      <c r="M926">
        <v>408747.6</v>
      </c>
      <c r="N926">
        <v>79641.070000000007</v>
      </c>
      <c r="O926" t="s">
        <v>23</v>
      </c>
    </row>
    <row r="927" spans="1:15" x14ac:dyDescent="0.25">
      <c r="A927" t="s">
        <v>997</v>
      </c>
      <c r="B927" s="1">
        <v>46011</v>
      </c>
      <c r="C927" t="s">
        <v>36</v>
      </c>
      <c r="D927" t="s">
        <v>37</v>
      </c>
      <c r="E927" t="s">
        <v>38</v>
      </c>
      <c r="F927" t="s">
        <v>39</v>
      </c>
      <c r="G927" t="s">
        <v>28</v>
      </c>
      <c r="H927" t="s">
        <v>77</v>
      </c>
      <c r="I927" t="s">
        <v>78</v>
      </c>
      <c r="J927">
        <v>6</v>
      </c>
      <c r="K927">
        <v>46349</v>
      </c>
      <c r="L927">
        <v>0</v>
      </c>
      <c r="M927">
        <v>278094</v>
      </c>
      <c r="N927">
        <v>49803.74</v>
      </c>
      <c r="O927" t="s">
        <v>34</v>
      </c>
    </row>
    <row r="928" spans="1:15" x14ac:dyDescent="0.25">
      <c r="A928" t="s">
        <v>998</v>
      </c>
      <c r="B928" s="1">
        <v>45998</v>
      </c>
      <c r="C928" t="s">
        <v>25</v>
      </c>
      <c r="D928" t="s">
        <v>61</v>
      </c>
      <c r="E928" t="s">
        <v>62</v>
      </c>
      <c r="F928" t="s">
        <v>52</v>
      </c>
      <c r="G928" t="s">
        <v>20</v>
      </c>
      <c r="H928" t="s">
        <v>40</v>
      </c>
      <c r="I928" t="s">
        <v>59</v>
      </c>
      <c r="J928">
        <v>10</v>
      </c>
      <c r="K928">
        <v>24978</v>
      </c>
      <c r="L928">
        <v>10</v>
      </c>
      <c r="M928">
        <v>224802</v>
      </c>
      <c r="N928">
        <v>27547.22</v>
      </c>
      <c r="O928" t="s">
        <v>23</v>
      </c>
    </row>
    <row r="929" spans="1:15" x14ac:dyDescent="0.25">
      <c r="A929" t="s">
        <v>999</v>
      </c>
      <c r="B929" s="1">
        <v>45894</v>
      </c>
      <c r="C929" t="s">
        <v>16</v>
      </c>
      <c r="D929" t="s">
        <v>44</v>
      </c>
      <c r="E929" t="s">
        <v>44</v>
      </c>
      <c r="F929" t="s">
        <v>63</v>
      </c>
      <c r="G929" t="s">
        <v>20</v>
      </c>
      <c r="H929" t="s">
        <v>21</v>
      </c>
      <c r="I929" t="s">
        <v>56</v>
      </c>
      <c r="J929">
        <v>1</v>
      </c>
      <c r="K929">
        <v>52174</v>
      </c>
      <c r="L929">
        <v>10</v>
      </c>
      <c r="M929">
        <v>46956.6</v>
      </c>
      <c r="N929">
        <v>6158.99</v>
      </c>
      <c r="O929" t="s">
        <v>23</v>
      </c>
    </row>
    <row r="930" spans="1:15" x14ac:dyDescent="0.25">
      <c r="A930" t="s">
        <v>1000</v>
      </c>
      <c r="B930" s="1">
        <v>45754</v>
      </c>
      <c r="C930" t="s">
        <v>16</v>
      </c>
      <c r="D930" t="s">
        <v>17</v>
      </c>
      <c r="E930" t="s">
        <v>18</v>
      </c>
      <c r="F930" t="s">
        <v>72</v>
      </c>
      <c r="G930" t="s">
        <v>20</v>
      </c>
      <c r="H930" t="s">
        <v>77</v>
      </c>
      <c r="I930" t="s">
        <v>78</v>
      </c>
      <c r="J930">
        <v>5</v>
      </c>
      <c r="K930">
        <v>69543</v>
      </c>
      <c r="L930">
        <v>0</v>
      </c>
      <c r="M930">
        <v>347715</v>
      </c>
      <c r="N930">
        <v>82140.990000000005</v>
      </c>
      <c r="O930" t="s">
        <v>42</v>
      </c>
    </row>
    <row r="931" spans="1:15" x14ac:dyDescent="0.25">
      <c r="A931" t="s">
        <v>1001</v>
      </c>
      <c r="B931" s="1">
        <v>46015</v>
      </c>
      <c r="C931" t="s">
        <v>65</v>
      </c>
      <c r="D931" t="s">
        <v>66</v>
      </c>
      <c r="E931" t="s">
        <v>67</v>
      </c>
      <c r="F931" t="s">
        <v>93</v>
      </c>
      <c r="G931" t="s">
        <v>28</v>
      </c>
      <c r="H931" t="s">
        <v>68</v>
      </c>
      <c r="I931" t="s">
        <v>69</v>
      </c>
      <c r="J931">
        <v>4</v>
      </c>
      <c r="K931">
        <v>65277</v>
      </c>
      <c r="L931">
        <v>10</v>
      </c>
      <c r="M931">
        <v>234997.2</v>
      </c>
      <c r="N931">
        <v>53699.23</v>
      </c>
      <c r="O931" t="s">
        <v>23</v>
      </c>
    </row>
    <row r="932" spans="1:15" x14ac:dyDescent="0.25">
      <c r="A932" t="s">
        <v>1002</v>
      </c>
      <c r="B932" s="1">
        <v>45810</v>
      </c>
      <c r="C932" t="s">
        <v>65</v>
      </c>
      <c r="D932" t="s">
        <v>66</v>
      </c>
      <c r="E932" t="s">
        <v>67</v>
      </c>
      <c r="F932" t="s">
        <v>72</v>
      </c>
      <c r="G932" t="s">
        <v>28</v>
      </c>
      <c r="H932" t="s">
        <v>21</v>
      </c>
      <c r="I932" t="s">
        <v>56</v>
      </c>
      <c r="J932">
        <v>5</v>
      </c>
      <c r="K932">
        <v>69505</v>
      </c>
      <c r="L932">
        <v>0</v>
      </c>
      <c r="M932">
        <v>347525</v>
      </c>
      <c r="N932">
        <v>58536.49</v>
      </c>
      <c r="O932" t="s">
        <v>34</v>
      </c>
    </row>
    <row r="933" spans="1:15" x14ac:dyDescent="0.25">
      <c r="A933" t="s">
        <v>1003</v>
      </c>
      <c r="B933" s="1">
        <v>45796</v>
      </c>
      <c r="C933" t="s">
        <v>65</v>
      </c>
      <c r="D933" t="s">
        <v>66</v>
      </c>
      <c r="E933" t="s">
        <v>67</v>
      </c>
      <c r="F933" t="s">
        <v>47</v>
      </c>
      <c r="G933" t="s">
        <v>28</v>
      </c>
      <c r="H933" t="s">
        <v>68</v>
      </c>
      <c r="I933" t="s">
        <v>90</v>
      </c>
      <c r="J933">
        <v>2</v>
      </c>
      <c r="K933">
        <v>41745</v>
      </c>
      <c r="L933">
        <v>20</v>
      </c>
      <c r="M933">
        <v>66792</v>
      </c>
      <c r="N933">
        <v>16345.1</v>
      </c>
      <c r="O933" t="s">
        <v>42</v>
      </c>
    </row>
    <row r="934" spans="1:15" x14ac:dyDescent="0.25">
      <c r="A934" t="s">
        <v>1004</v>
      </c>
      <c r="B934" s="1">
        <v>45792</v>
      </c>
      <c r="C934" t="s">
        <v>65</v>
      </c>
      <c r="D934" t="s">
        <v>66</v>
      </c>
      <c r="E934" t="s">
        <v>67</v>
      </c>
      <c r="F934" t="s">
        <v>52</v>
      </c>
      <c r="G934" t="s">
        <v>28</v>
      </c>
      <c r="H934" t="s">
        <v>21</v>
      </c>
      <c r="I934" t="s">
        <v>56</v>
      </c>
      <c r="J934">
        <v>5</v>
      </c>
      <c r="K934">
        <v>42546</v>
      </c>
      <c r="L934">
        <v>15</v>
      </c>
      <c r="M934">
        <v>180820.5</v>
      </c>
      <c r="N934">
        <v>34221.21</v>
      </c>
      <c r="O934" t="s">
        <v>34</v>
      </c>
    </row>
    <row r="935" spans="1:15" x14ac:dyDescent="0.25">
      <c r="A935" t="s">
        <v>1005</v>
      </c>
      <c r="B935" s="1">
        <v>45927</v>
      </c>
      <c r="C935" t="s">
        <v>36</v>
      </c>
      <c r="D935" t="s">
        <v>37</v>
      </c>
      <c r="E935" t="s">
        <v>38</v>
      </c>
      <c r="F935" t="s">
        <v>63</v>
      </c>
      <c r="G935" t="s">
        <v>28</v>
      </c>
      <c r="H935" t="s">
        <v>40</v>
      </c>
      <c r="I935" t="s">
        <v>41</v>
      </c>
      <c r="J935">
        <v>6</v>
      </c>
      <c r="K935">
        <v>77028</v>
      </c>
      <c r="L935">
        <v>5</v>
      </c>
      <c r="M935">
        <v>439059.6</v>
      </c>
      <c r="N935">
        <v>77683.11</v>
      </c>
      <c r="O935" t="s">
        <v>34</v>
      </c>
    </row>
    <row r="936" spans="1:15" x14ac:dyDescent="0.25">
      <c r="A936" t="s">
        <v>1006</v>
      </c>
      <c r="B936" s="1">
        <v>45905</v>
      </c>
      <c r="C936" t="s">
        <v>36</v>
      </c>
      <c r="D936" t="s">
        <v>50</v>
      </c>
      <c r="E936" t="s">
        <v>51</v>
      </c>
      <c r="F936" t="s">
        <v>63</v>
      </c>
      <c r="G936" t="s">
        <v>20</v>
      </c>
      <c r="H936" t="s">
        <v>29</v>
      </c>
      <c r="I936" t="s">
        <v>53</v>
      </c>
      <c r="J936">
        <v>4</v>
      </c>
      <c r="K936">
        <v>77766</v>
      </c>
      <c r="L936">
        <v>20</v>
      </c>
      <c r="M936">
        <v>248851.20000000001</v>
      </c>
      <c r="N936">
        <v>23420</v>
      </c>
      <c r="O936" t="s">
        <v>34</v>
      </c>
    </row>
    <row r="937" spans="1:15" x14ac:dyDescent="0.25">
      <c r="A937" t="s">
        <v>1007</v>
      </c>
      <c r="B937" s="1">
        <v>45787</v>
      </c>
      <c r="C937" t="s">
        <v>16</v>
      </c>
      <c r="D937" t="s">
        <v>44</v>
      </c>
      <c r="E937" t="s">
        <v>44</v>
      </c>
      <c r="F937" t="s">
        <v>63</v>
      </c>
      <c r="G937" t="s">
        <v>20</v>
      </c>
      <c r="H937" t="s">
        <v>40</v>
      </c>
      <c r="I937" t="s">
        <v>41</v>
      </c>
      <c r="J937">
        <v>4</v>
      </c>
      <c r="K937">
        <v>5969</v>
      </c>
      <c r="L937">
        <v>20</v>
      </c>
      <c r="M937">
        <v>19100.8</v>
      </c>
      <c r="N937">
        <v>1785.94</v>
      </c>
      <c r="O937" t="s">
        <v>31</v>
      </c>
    </row>
    <row r="938" spans="1:15" x14ac:dyDescent="0.25">
      <c r="A938" t="s">
        <v>1008</v>
      </c>
      <c r="B938" s="1">
        <v>45823</v>
      </c>
      <c r="C938" t="s">
        <v>36</v>
      </c>
      <c r="D938" t="s">
        <v>50</v>
      </c>
      <c r="E938" t="s">
        <v>51</v>
      </c>
      <c r="F938" t="s">
        <v>72</v>
      </c>
      <c r="G938" t="s">
        <v>20</v>
      </c>
      <c r="H938" t="s">
        <v>29</v>
      </c>
      <c r="I938" t="s">
        <v>30</v>
      </c>
      <c r="J938">
        <v>2</v>
      </c>
      <c r="K938">
        <v>9870</v>
      </c>
      <c r="L938">
        <v>15</v>
      </c>
      <c r="M938">
        <v>16779</v>
      </c>
      <c r="N938">
        <v>3219.97</v>
      </c>
      <c r="O938" t="s">
        <v>23</v>
      </c>
    </row>
    <row r="939" spans="1:15" x14ac:dyDescent="0.25">
      <c r="A939" t="s">
        <v>1009</v>
      </c>
      <c r="B939" s="1">
        <v>45945</v>
      </c>
      <c r="C939" t="s">
        <v>65</v>
      </c>
      <c r="D939" t="s">
        <v>66</v>
      </c>
      <c r="E939" t="s">
        <v>67</v>
      </c>
      <c r="F939" t="s">
        <v>19</v>
      </c>
      <c r="G939" t="s">
        <v>20</v>
      </c>
      <c r="H939" t="s">
        <v>29</v>
      </c>
      <c r="I939" t="s">
        <v>30</v>
      </c>
      <c r="J939">
        <v>4</v>
      </c>
      <c r="K939">
        <v>5528</v>
      </c>
      <c r="L939">
        <v>0</v>
      </c>
      <c r="M939">
        <v>22112</v>
      </c>
      <c r="N939">
        <v>2019.41</v>
      </c>
      <c r="O939" t="s">
        <v>42</v>
      </c>
    </row>
    <row r="940" spans="1:15" x14ac:dyDescent="0.25">
      <c r="A940" t="s">
        <v>1010</v>
      </c>
      <c r="B940" s="1">
        <v>45930</v>
      </c>
      <c r="C940" t="s">
        <v>65</v>
      </c>
      <c r="D940" t="s">
        <v>66</v>
      </c>
      <c r="E940" t="s">
        <v>67</v>
      </c>
      <c r="F940" t="s">
        <v>63</v>
      </c>
      <c r="G940" t="s">
        <v>28</v>
      </c>
      <c r="H940" t="s">
        <v>40</v>
      </c>
      <c r="I940" t="s">
        <v>59</v>
      </c>
      <c r="J940">
        <v>8</v>
      </c>
      <c r="K940">
        <v>76703</v>
      </c>
      <c r="L940">
        <v>10</v>
      </c>
      <c r="M940">
        <v>552261.6</v>
      </c>
      <c r="N940">
        <v>52356.99</v>
      </c>
      <c r="O940" t="s">
        <v>34</v>
      </c>
    </row>
    <row r="941" spans="1:15" x14ac:dyDescent="0.25">
      <c r="A941" t="s">
        <v>1011</v>
      </c>
      <c r="B941" s="1">
        <v>45947</v>
      </c>
      <c r="C941" t="s">
        <v>36</v>
      </c>
      <c r="D941" t="s">
        <v>50</v>
      </c>
      <c r="E941" t="s">
        <v>51</v>
      </c>
      <c r="F941" t="s">
        <v>52</v>
      </c>
      <c r="G941" t="s">
        <v>28</v>
      </c>
      <c r="H941" t="s">
        <v>40</v>
      </c>
      <c r="I941" t="s">
        <v>41</v>
      </c>
      <c r="J941">
        <v>2</v>
      </c>
      <c r="K941">
        <v>59562</v>
      </c>
      <c r="L941">
        <v>0</v>
      </c>
      <c r="M941">
        <v>119124</v>
      </c>
      <c r="N941">
        <v>23498.65</v>
      </c>
      <c r="O941" t="s">
        <v>34</v>
      </c>
    </row>
    <row r="942" spans="1:15" x14ac:dyDescent="0.25">
      <c r="A942" t="s">
        <v>1012</v>
      </c>
      <c r="B942" s="1">
        <v>45984</v>
      </c>
      <c r="C942" t="s">
        <v>36</v>
      </c>
      <c r="D942" t="s">
        <v>50</v>
      </c>
      <c r="E942" t="s">
        <v>51</v>
      </c>
      <c r="F942" t="s">
        <v>52</v>
      </c>
      <c r="G942" t="s">
        <v>20</v>
      </c>
      <c r="H942" t="s">
        <v>21</v>
      </c>
      <c r="I942" t="s">
        <v>45</v>
      </c>
      <c r="J942">
        <v>10</v>
      </c>
      <c r="K942">
        <v>45845</v>
      </c>
      <c r="L942">
        <v>15</v>
      </c>
      <c r="M942">
        <v>389682.5</v>
      </c>
      <c r="N942">
        <v>94298.72</v>
      </c>
      <c r="O942" t="s">
        <v>42</v>
      </c>
    </row>
    <row r="943" spans="1:15" x14ac:dyDescent="0.25">
      <c r="A943" t="s">
        <v>1013</v>
      </c>
      <c r="B943" s="1">
        <v>45957</v>
      </c>
      <c r="C943" t="s">
        <v>65</v>
      </c>
      <c r="D943" t="s">
        <v>66</v>
      </c>
      <c r="E943" t="s">
        <v>67</v>
      </c>
      <c r="F943" t="s">
        <v>72</v>
      </c>
      <c r="G943" t="s">
        <v>28</v>
      </c>
      <c r="H943" t="s">
        <v>29</v>
      </c>
      <c r="I943" t="s">
        <v>53</v>
      </c>
      <c r="J943">
        <v>5</v>
      </c>
      <c r="K943">
        <v>75982</v>
      </c>
      <c r="L943">
        <v>15</v>
      </c>
      <c r="M943">
        <v>322923.5</v>
      </c>
      <c r="N943">
        <v>75612.39</v>
      </c>
      <c r="O943" t="s">
        <v>31</v>
      </c>
    </row>
    <row r="944" spans="1:15" x14ac:dyDescent="0.25">
      <c r="A944" t="s">
        <v>1014</v>
      </c>
      <c r="B944" s="1">
        <v>45940</v>
      </c>
      <c r="C944" t="s">
        <v>16</v>
      </c>
      <c r="D944" t="s">
        <v>44</v>
      </c>
      <c r="E944" t="s">
        <v>44</v>
      </c>
      <c r="F944" t="s">
        <v>52</v>
      </c>
      <c r="G944" t="s">
        <v>28</v>
      </c>
      <c r="H944" t="s">
        <v>40</v>
      </c>
      <c r="I944" t="s">
        <v>41</v>
      </c>
      <c r="J944">
        <v>6</v>
      </c>
      <c r="K944">
        <v>26586</v>
      </c>
      <c r="L944">
        <v>15</v>
      </c>
      <c r="M944">
        <v>135588.6</v>
      </c>
      <c r="N944">
        <v>25080.86</v>
      </c>
      <c r="O944" t="s">
        <v>42</v>
      </c>
    </row>
    <row r="945" spans="1:15" x14ac:dyDescent="0.25">
      <c r="A945" t="s">
        <v>1015</v>
      </c>
      <c r="B945" s="1">
        <v>45919</v>
      </c>
      <c r="C945" t="s">
        <v>36</v>
      </c>
      <c r="D945" t="s">
        <v>37</v>
      </c>
      <c r="E945" t="s">
        <v>38</v>
      </c>
      <c r="F945" t="s">
        <v>39</v>
      </c>
      <c r="G945" t="s">
        <v>28</v>
      </c>
      <c r="H945" t="s">
        <v>29</v>
      </c>
      <c r="I945" t="s">
        <v>48</v>
      </c>
      <c r="J945">
        <v>8</v>
      </c>
      <c r="K945">
        <v>11450</v>
      </c>
      <c r="L945">
        <v>0</v>
      </c>
      <c r="M945">
        <v>91600</v>
      </c>
      <c r="N945">
        <v>12356.41</v>
      </c>
      <c r="O945" t="s">
        <v>23</v>
      </c>
    </row>
    <row r="946" spans="1:15" x14ac:dyDescent="0.25">
      <c r="A946" t="s">
        <v>1016</v>
      </c>
      <c r="B946" s="1">
        <v>45907</v>
      </c>
      <c r="C946" t="s">
        <v>65</v>
      </c>
      <c r="D946" t="s">
        <v>82</v>
      </c>
      <c r="E946" t="s">
        <v>83</v>
      </c>
      <c r="F946" t="s">
        <v>33</v>
      </c>
      <c r="G946" t="s">
        <v>28</v>
      </c>
      <c r="H946" t="s">
        <v>21</v>
      </c>
      <c r="I946" t="s">
        <v>56</v>
      </c>
      <c r="J946">
        <v>2</v>
      </c>
      <c r="K946">
        <v>31320</v>
      </c>
      <c r="L946">
        <v>0</v>
      </c>
      <c r="M946">
        <v>62640</v>
      </c>
      <c r="N946">
        <v>13401.27</v>
      </c>
      <c r="O946" t="s">
        <v>31</v>
      </c>
    </row>
    <row r="947" spans="1:15" x14ac:dyDescent="0.25">
      <c r="A947" t="s">
        <v>1017</v>
      </c>
      <c r="B947" s="1">
        <v>45831</v>
      </c>
      <c r="C947" t="s">
        <v>65</v>
      </c>
      <c r="D947" t="s">
        <v>66</v>
      </c>
      <c r="E947" t="s">
        <v>67</v>
      </c>
      <c r="F947" t="s">
        <v>63</v>
      </c>
      <c r="G947" t="s">
        <v>20</v>
      </c>
      <c r="H947" t="s">
        <v>29</v>
      </c>
      <c r="I947" t="s">
        <v>48</v>
      </c>
      <c r="J947">
        <v>10</v>
      </c>
      <c r="K947">
        <v>30805</v>
      </c>
      <c r="L947">
        <v>5</v>
      </c>
      <c r="M947">
        <v>292647.5</v>
      </c>
      <c r="N947">
        <v>70239.59</v>
      </c>
      <c r="O947" t="s">
        <v>34</v>
      </c>
    </row>
    <row r="948" spans="1:15" x14ac:dyDescent="0.25">
      <c r="A948" t="s">
        <v>1018</v>
      </c>
      <c r="B948" s="1">
        <v>45796</v>
      </c>
      <c r="C948" t="s">
        <v>16</v>
      </c>
      <c r="D948" t="s">
        <v>17</v>
      </c>
      <c r="E948" t="s">
        <v>18</v>
      </c>
      <c r="F948" t="s">
        <v>19</v>
      </c>
      <c r="G948" t="s">
        <v>20</v>
      </c>
      <c r="H948" t="s">
        <v>40</v>
      </c>
      <c r="I948" t="s">
        <v>41</v>
      </c>
      <c r="J948">
        <v>6</v>
      </c>
      <c r="K948">
        <v>36360</v>
      </c>
      <c r="L948">
        <v>20</v>
      </c>
      <c r="M948">
        <v>174528</v>
      </c>
      <c r="N948">
        <v>16266.76</v>
      </c>
      <c r="O948" t="s">
        <v>42</v>
      </c>
    </row>
    <row r="949" spans="1:15" x14ac:dyDescent="0.25">
      <c r="A949" t="s">
        <v>1019</v>
      </c>
      <c r="B949" s="1">
        <v>45833</v>
      </c>
      <c r="C949" t="s">
        <v>16</v>
      </c>
      <c r="D949" t="s">
        <v>44</v>
      </c>
      <c r="E949" t="s">
        <v>44</v>
      </c>
      <c r="F949" t="s">
        <v>93</v>
      </c>
      <c r="G949" t="s">
        <v>20</v>
      </c>
      <c r="H949" t="s">
        <v>68</v>
      </c>
      <c r="I949" t="s">
        <v>90</v>
      </c>
      <c r="J949">
        <v>2</v>
      </c>
      <c r="K949">
        <v>58250</v>
      </c>
      <c r="L949">
        <v>0</v>
      </c>
      <c r="M949">
        <v>116500</v>
      </c>
      <c r="N949">
        <v>11080.4</v>
      </c>
      <c r="O949" t="s">
        <v>31</v>
      </c>
    </row>
    <row r="950" spans="1:15" x14ac:dyDescent="0.25">
      <c r="A950" t="s">
        <v>1020</v>
      </c>
      <c r="B950" s="1">
        <v>45845</v>
      </c>
      <c r="C950" t="s">
        <v>25</v>
      </c>
      <c r="D950" t="s">
        <v>61</v>
      </c>
      <c r="E950" t="s">
        <v>62</v>
      </c>
      <c r="F950" t="s">
        <v>47</v>
      </c>
      <c r="G950" t="s">
        <v>20</v>
      </c>
      <c r="H950" t="s">
        <v>68</v>
      </c>
      <c r="I950" t="s">
        <v>69</v>
      </c>
      <c r="J950">
        <v>2</v>
      </c>
      <c r="K950">
        <v>2072</v>
      </c>
      <c r="L950">
        <v>10</v>
      </c>
      <c r="M950">
        <v>3729.6</v>
      </c>
      <c r="N950">
        <v>409.56</v>
      </c>
      <c r="O950" t="s">
        <v>34</v>
      </c>
    </row>
    <row r="951" spans="1:15" x14ac:dyDescent="0.25">
      <c r="A951" t="s">
        <v>1021</v>
      </c>
      <c r="B951" s="1">
        <v>45887</v>
      </c>
      <c r="C951" t="s">
        <v>65</v>
      </c>
      <c r="D951" t="s">
        <v>66</v>
      </c>
      <c r="E951" t="s">
        <v>67</v>
      </c>
      <c r="F951" t="s">
        <v>39</v>
      </c>
      <c r="G951" t="s">
        <v>28</v>
      </c>
      <c r="H951" t="s">
        <v>40</v>
      </c>
      <c r="I951" t="s">
        <v>80</v>
      </c>
      <c r="J951">
        <v>5</v>
      </c>
      <c r="K951">
        <v>15756</v>
      </c>
      <c r="L951">
        <v>15</v>
      </c>
      <c r="M951">
        <v>66963</v>
      </c>
      <c r="N951">
        <v>7099.64</v>
      </c>
      <c r="O951" t="s">
        <v>23</v>
      </c>
    </row>
    <row r="952" spans="1:15" x14ac:dyDescent="0.25">
      <c r="A952" t="s">
        <v>1022</v>
      </c>
      <c r="B952" s="1">
        <v>45702</v>
      </c>
      <c r="C952" t="s">
        <v>65</v>
      </c>
      <c r="D952" t="s">
        <v>82</v>
      </c>
      <c r="E952" t="s">
        <v>83</v>
      </c>
      <c r="F952" t="s">
        <v>63</v>
      </c>
      <c r="G952" t="s">
        <v>28</v>
      </c>
      <c r="H952" t="s">
        <v>68</v>
      </c>
      <c r="I952" t="s">
        <v>69</v>
      </c>
      <c r="J952">
        <v>8</v>
      </c>
      <c r="K952">
        <v>28138</v>
      </c>
      <c r="L952">
        <v>20</v>
      </c>
      <c r="M952">
        <v>180083.20000000001</v>
      </c>
      <c r="N952">
        <v>15874.64</v>
      </c>
      <c r="O952" t="s">
        <v>31</v>
      </c>
    </row>
    <row r="953" spans="1:15" x14ac:dyDescent="0.25">
      <c r="A953" t="s">
        <v>1023</v>
      </c>
      <c r="B953" s="1">
        <v>45736</v>
      </c>
      <c r="C953" t="s">
        <v>36</v>
      </c>
      <c r="D953" t="s">
        <v>85</v>
      </c>
      <c r="E953" t="s">
        <v>86</v>
      </c>
      <c r="F953" t="s">
        <v>33</v>
      </c>
      <c r="G953" t="s">
        <v>28</v>
      </c>
      <c r="H953" t="s">
        <v>21</v>
      </c>
      <c r="I953" t="s">
        <v>45</v>
      </c>
      <c r="J953">
        <v>2</v>
      </c>
      <c r="K953">
        <v>69002</v>
      </c>
      <c r="L953">
        <v>10</v>
      </c>
      <c r="M953">
        <v>124203.6</v>
      </c>
      <c r="N953">
        <v>28935.119999999999</v>
      </c>
      <c r="O953" t="s">
        <v>34</v>
      </c>
    </row>
    <row r="954" spans="1:15" x14ac:dyDescent="0.25">
      <c r="A954" t="s">
        <v>1024</v>
      </c>
      <c r="B954" s="1">
        <v>45987</v>
      </c>
      <c r="C954" t="s">
        <v>65</v>
      </c>
      <c r="D954" t="s">
        <v>82</v>
      </c>
      <c r="E954" t="s">
        <v>83</v>
      </c>
      <c r="F954" t="s">
        <v>93</v>
      </c>
      <c r="G954" t="s">
        <v>28</v>
      </c>
      <c r="H954" t="s">
        <v>77</v>
      </c>
      <c r="I954" t="s">
        <v>100</v>
      </c>
      <c r="J954">
        <v>9</v>
      </c>
      <c r="K954">
        <v>26652</v>
      </c>
      <c r="L954">
        <v>5</v>
      </c>
      <c r="M954">
        <v>227874.6</v>
      </c>
      <c r="N954">
        <v>38005.24</v>
      </c>
      <c r="O954" t="s">
        <v>23</v>
      </c>
    </row>
    <row r="955" spans="1:15" x14ac:dyDescent="0.25">
      <c r="A955" t="s">
        <v>1025</v>
      </c>
      <c r="B955" s="1">
        <v>45809</v>
      </c>
      <c r="C955" t="s">
        <v>16</v>
      </c>
      <c r="D955" t="s">
        <v>17</v>
      </c>
      <c r="E955" t="s">
        <v>18</v>
      </c>
      <c r="F955" t="s">
        <v>33</v>
      </c>
      <c r="G955" t="s">
        <v>20</v>
      </c>
      <c r="H955" t="s">
        <v>77</v>
      </c>
      <c r="I955" t="s">
        <v>78</v>
      </c>
      <c r="J955">
        <v>6</v>
      </c>
      <c r="K955">
        <v>27590</v>
      </c>
      <c r="L955">
        <v>10</v>
      </c>
      <c r="M955">
        <v>148986</v>
      </c>
      <c r="N955">
        <v>15992.94</v>
      </c>
      <c r="O955" t="s">
        <v>34</v>
      </c>
    </row>
    <row r="956" spans="1:15" x14ac:dyDescent="0.25">
      <c r="A956" t="s">
        <v>1026</v>
      </c>
      <c r="B956" s="1">
        <v>45780</v>
      </c>
      <c r="C956" t="s">
        <v>16</v>
      </c>
      <c r="D956" t="s">
        <v>44</v>
      </c>
      <c r="E956" t="s">
        <v>44</v>
      </c>
      <c r="F956" t="s">
        <v>39</v>
      </c>
      <c r="G956" t="s">
        <v>28</v>
      </c>
      <c r="H956" t="s">
        <v>68</v>
      </c>
      <c r="I956" t="s">
        <v>90</v>
      </c>
      <c r="J956">
        <v>9</v>
      </c>
      <c r="K956">
        <v>20127</v>
      </c>
      <c r="L956">
        <v>0</v>
      </c>
      <c r="M956">
        <v>181143</v>
      </c>
      <c r="N956">
        <v>39617.07</v>
      </c>
      <c r="O956" t="s">
        <v>34</v>
      </c>
    </row>
    <row r="957" spans="1:15" x14ac:dyDescent="0.25">
      <c r="A957" t="s">
        <v>1027</v>
      </c>
      <c r="B957" s="1">
        <v>45797</v>
      </c>
      <c r="C957" t="s">
        <v>36</v>
      </c>
      <c r="D957" t="s">
        <v>85</v>
      </c>
      <c r="E957" t="s">
        <v>86</v>
      </c>
      <c r="F957" t="s">
        <v>63</v>
      </c>
      <c r="G957" t="s">
        <v>28</v>
      </c>
      <c r="H957" t="s">
        <v>21</v>
      </c>
      <c r="I957" t="s">
        <v>22</v>
      </c>
      <c r="J957">
        <v>8</v>
      </c>
      <c r="K957">
        <v>14107</v>
      </c>
      <c r="L957">
        <v>20</v>
      </c>
      <c r="M957">
        <v>90284.800000000003</v>
      </c>
      <c r="N957">
        <v>16551.82</v>
      </c>
      <c r="O957" t="s">
        <v>23</v>
      </c>
    </row>
    <row r="958" spans="1:15" x14ac:dyDescent="0.25">
      <c r="A958" t="s">
        <v>1028</v>
      </c>
      <c r="B958" s="1">
        <v>45860</v>
      </c>
      <c r="C958" t="s">
        <v>65</v>
      </c>
      <c r="D958" t="s">
        <v>82</v>
      </c>
      <c r="E958" t="s">
        <v>83</v>
      </c>
      <c r="F958" t="s">
        <v>33</v>
      </c>
      <c r="G958" t="s">
        <v>28</v>
      </c>
      <c r="H958" t="s">
        <v>77</v>
      </c>
      <c r="I958" t="s">
        <v>88</v>
      </c>
      <c r="J958">
        <v>3</v>
      </c>
      <c r="K958">
        <v>52979</v>
      </c>
      <c r="L958">
        <v>0</v>
      </c>
      <c r="M958">
        <v>158937</v>
      </c>
      <c r="N958">
        <v>35318.83</v>
      </c>
      <c r="O958" t="s">
        <v>23</v>
      </c>
    </row>
    <row r="959" spans="1:15" x14ac:dyDescent="0.25">
      <c r="A959" t="s">
        <v>1029</v>
      </c>
      <c r="B959" s="1">
        <v>45971</v>
      </c>
      <c r="C959" t="s">
        <v>36</v>
      </c>
      <c r="D959" t="s">
        <v>50</v>
      </c>
      <c r="E959" t="s">
        <v>51</v>
      </c>
      <c r="F959" t="s">
        <v>52</v>
      </c>
      <c r="G959" t="s">
        <v>28</v>
      </c>
      <c r="H959" t="s">
        <v>29</v>
      </c>
      <c r="I959" t="s">
        <v>48</v>
      </c>
      <c r="J959">
        <v>5</v>
      </c>
      <c r="K959">
        <v>22689</v>
      </c>
      <c r="L959">
        <v>10</v>
      </c>
      <c r="M959">
        <v>102100.5</v>
      </c>
      <c r="N959">
        <v>9759.5400000000009</v>
      </c>
      <c r="O959" t="s">
        <v>42</v>
      </c>
    </row>
    <row r="960" spans="1:15" x14ac:dyDescent="0.25">
      <c r="A960" t="s">
        <v>1030</v>
      </c>
      <c r="B960" s="1">
        <v>45735</v>
      </c>
      <c r="C960" t="s">
        <v>16</v>
      </c>
      <c r="D960" t="s">
        <v>44</v>
      </c>
      <c r="E960" t="s">
        <v>44</v>
      </c>
      <c r="F960" t="s">
        <v>47</v>
      </c>
      <c r="G960" t="s">
        <v>28</v>
      </c>
      <c r="H960" t="s">
        <v>29</v>
      </c>
      <c r="I960" t="s">
        <v>48</v>
      </c>
      <c r="J960">
        <v>1</v>
      </c>
      <c r="K960">
        <v>74266</v>
      </c>
      <c r="L960">
        <v>0</v>
      </c>
      <c r="M960">
        <v>74266</v>
      </c>
      <c r="N960">
        <v>8643</v>
      </c>
      <c r="O960" t="s">
        <v>42</v>
      </c>
    </row>
    <row r="961" spans="1:15" x14ac:dyDescent="0.25">
      <c r="A961" t="s">
        <v>1031</v>
      </c>
      <c r="B961" s="1">
        <v>45751</v>
      </c>
      <c r="C961" t="s">
        <v>16</v>
      </c>
      <c r="D961" t="s">
        <v>17</v>
      </c>
      <c r="E961" t="s">
        <v>18</v>
      </c>
      <c r="F961" t="s">
        <v>47</v>
      </c>
      <c r="G961" t="s">
        <v>20</v>
      </c>
      <c r="H961" t="s">
        <v>29</v>
      </c>
      <c r="I961" t="s">
        <v>48</v>
      </c>
      <c r="J961">
        <v>10</v>
      </c>
      <c r="K961">
        <v>13383</v>
      </c>
      <c r="L961">
        <v>10</v>
      </c>
      <c r="M961">
        <v>120447</v>
      </c>
      <c r="N961">
        <v>27912.87</v>
      </c>
      <c r="O961" t="s">
        <v>31</v>
      </c>
    </row>
    <row r="962" spans="1:15" x14ac:dyDescent="0.25">
      <c r="A962" t="s">
        <v>1032</v>
      </c>
      <c r="B962" s="1">
        <v>45851</v>
      </c>
      <c r="C962" t="s">
        <v>16</v>
      </c>
      <c r="D962" t="s">
        <v>17</v>
      </c>
      <c r="E962" t="s">
        <v>18</v>
      </c>
      <c r="F962" t="s">
        <v>33</v>
      </c>
      <c r="G962" t="s">
        <v>28</v>
      </c>
      <c r="H962" t="s">
        <v>29</v>
      </c>
      <c r="I962" t="s">
        <v>30</v>
      </c>
      <c r="J962">
        <v>5</v>
      </c>
      <c r="K962">
        <v>40677</v>
      </c>
      <c r="L962">
        <v>10</v>
      </c>
      <c r="M962">
        <v>183046.5</v>
      </c>
      <c r="N962">
        <v>45022.79</v>
      </c>
      <c r="O962" t="s">
        <v>23</v>
      </c>
    </row>
    <row r="963" spans="1:15" x14ac:dyDescent="0.25">
      <c r="A963" t="s">
        <v>1033</v>
      </c>
      <c r="B963" s="1">
        <v>45965</v>
      </c>
      <c r="C963" t="s">
        <v>25</v>
      </c>
      <c r="D963" t="s">
        <v>61</v>
      </c>
      <c r="E963" t="s">
        <v>62</v>
      </c>
      <c r="F963" t="s">
        <v>93</v>
      </c>
      <c r="G963" t="s">
        <v>28</v>
      </c>
      <c r="H963" t="s">
        <v>77</v>
      </c>
      <c r="I963" t="s">
        <v>88</v>
      </c>
      <c r="J963">
        <v>8</v>
      </c>
      <c r="K963">
        <v>52665</v>
      </c>
      <c r="L963">
        <v>15</v>
      </c>
      <c r="M963">
        <v>358122</v>
      </c>
      <c r="N963">
        <v>79448.759999999995</v>
      </c>
      <c r="O963" t="s">
        <v>42</v>
      </c>
    </row>
    <row r="964" spans="1:15" x14ac:dyDescent="0.25">
      <c r="A964" t="s">
        <v>1034</v>
      </c>
      <c r="B964" s="1">
        <v>45827</v>
      </c>
      <c r="C964" t="s">
        <v>65</v>
      </c>
      <c r="D964" t="s">
        <v>82</v>
      </c>
      <c r="E964" t="s">
        <v>83</v>
      </c>
      <c r="F964" t="s">
        <v>52</v>
      </c>
      <c r="G964" t="s">
        <v>20</v>
      </c>
      <c r="H964" t="s">
        <v>68</v>
      </c>
      <c r="I964" t="s">
        <v>94</v>
      </c>
      <c r="J964">
        <v>2</v>
      </c>
      <c r="K964">
        <v>57560</v>
      </c>
      <c r="L964">
        <v>10</v>
      </c>
      <c r="M964">
        <v>103608</v>
      </c>
      <c r="N964">
        <v>10815.54</v>
      </c>
      <c r="O964" t="s">
        <v>31</v>
      </c>
    </row>
    <row r="965" spans="1:15" x14ac:dyDescent="0.25">
      <c r="A965" t="s">
        <v>1035</v>
      </c>
      <c r="B965" s="1">
        <v>45764</v>
      </c>
      <c r="C965" t="s">
        <v>36</v>
      </c>
      <c r="D965" t="s">
        <v>85</v>
      </c>
      <c r="E965" t="s">
        <v>86</v>
      </c>
      <c r="F965" t="s">
        <v>72</v>
      </c>
      <c r="G965" t="s">
        <v>20</v>
      </c>
      <c r="H965" t="s">
        <v>21</v>
      </c>
      <c r="I965" t="s">
        <v>56</v>
      </c>
      <c r="J965">
        <v>9</v>
      </c>
      <c r="K965">
        <v>76346</v>
      </c>
      <c r="L965">
        <v>20</v>
      </c>
      <c r="M965">
        <v>549691.19999999995</v>
      </c>
      <c r="N965">
        <v>109106.39</v>
      </c>
      <c r="O965" t="s">
        <v>23</v>
      </c>
    </row>
    <row r="966" spans="1:15" x14ac:dyDescent="0.25">
      <c r="A966" t="s">
        <v>1036</v>
      </c>
      <c r="B966" s="1">
        <v>45966</v>
      </c>
      <c r="C966" t="s">
        <v>65</v>
      </c>
      <c r="D966" t="s">
        <v>66</v>
      </c>
      <c r="E966" t="s">
        <v>67</v>
      </c>
      <c r="F966" t="s">
        <v>93</v>
      </c>
      <c r="G966" t="s">
        <v>20</v>
      </c>
      <c r="H966" t="s">
        <v>77</v>
      </c>
      <c r="I966" t="s">
        <v>78</v>
      </c>
      <c r="J966">
        <v>3</v>
      </c>
      <c r="K966">
        <v>32687</v>
      </c>
      <c r="L966">
        <v>10</v>
      </c>
      <c r="M966">
        <v>88254.9</v>
      </c>
      <c r="N966">
        <v>17201.64</v>
      </c>
      <c r="O966" t="s">
        <v>42</v>
      </c>
    </row>
    <row r="967" spans="1:15" x14ac:dyDescent="0.25">
      <c r="A967" t="s">
        <v>1037</v>
      </c>
      <c r="B967" s="1">
        <v>45713</v>
      </c>
      <c r="C967" t="s">
        <v>25</v>
      </c>
      <c r="D967" t="s">
        <v>61</v>
      </c>
      <c r="E967" t="s">
        <v>62</v>
      </c>
      <c r="F967" t="s">
        <v>39</v>
      </c>
      <c r="G967" t="s">
        <v>28</v>
      </c>
      <c r="H967" t="s">
        <v>29</v>
      </c>
      <c r="I967" t="s">
        <v>30</v>
      </c>
      <c r="J967">
        <v>8</v>
      </c>
      <c r="K967">
        <v>4030</v>
      </c>
      <c r="L967">
        <v>10</v>
      </c>
      <c r="M967">
        <v>29016</v>
      </c>
      <c r="N967">
        <v>6276.88</v>
      </c>
      <c r="O967" t="s">
        <v>23</v>
      </c>
    </row>
    <row r="968" spans="1:15" x14ac:dyDescent="0.25">
      <c r="A968" t="s">
        <v>1038</v>
      </c>
      <c r="B968" s="1">
        <v>46002</v>
      </c>
      <c r="C968" t="s">
        <v>36</v>
      </c>
      <c r="D968" t="s">
        <v>50</v>
      </c>
      <c r="E968" t="s">
        <v>51</v>
      </c>
      <c r="F968" t="s">
        <v>63</v>
      </c>
      <c r="G968" t="s">
        <v>20</v>
      </c>
      <c r="H968" t="s">
        <v>77</v>
      </c>
      <c r="I968" t="s">
        <v>100</v>
      </c>
      <c r="J968">
        <v>1</v>
      </c>
      <c r="K968">
        <v>29888</v>
      </c>
      <c r="L968">
        <v>0</v>
      </c>
      <c r="M968">
        <v>29888</v>
      </c>
      <c r="N968">
        <v>7285.7</v>
      </c>
      <c r="O968" t="s">
        <v>42</v>
      </c>
    </row>
    <row r="969" spans="1:15" x14ac:dyDescent="0.25">
      <c r="A969" t="s">
        <v>1039</v>
      </c>
      <c r="B969" s="1">
        <v>46006</v>
      </c>
      <c r="C969" t="s">
        <v>25</v>
      </c>
      <c r="D969" t="s">
        <v>61</v>
      </c>
      <c r="E969" t="s">
        <v>62</v>
      </c>
      <c r="F969" t="s">
        <v>19</v>
      </c>
      <c r="G969" t="s">
        <v>20</v>
      </c>
      <c r="H969" t="s">
        <v>77</v>
      </c>
      <c r="I969" t="s">
        <v>78</v>
      </c>
      <c r="J969">
        <v>3</v>
      </c>
      <c r="K969">
        <v>26707</v>
      </c>
      <c r="L969">
        <v>15</v>
      </c>
      <c r="M969">
        <v>68102.850000000006</v>
      </c>
      <c r="N969">
        <v>7611.61</v>
      </c>
      <c r="O969" t="s">
        <v>42</v>
      </c>
    </row>
    <row r="970" spans="1:15" x14ac:dyDescent="0.25">
      <c r="A970" t="s">
        <v>1040</v>
      </c>
      <c r="B970" s="1">
        <v>45956</v>
      </c>
      <c r="C970" t="s">
        <v>65</v>
      </c>
      <c r="D970" t="s">
        <v>66</v>
      </c>
      <c r="E970" t="s">
        <v>67</v>
      </c>
      <c r="F970" t="s">
        <v>72</v>
      </c>
      <c r="G970" t="s">
        <v>28</v>
      </c>
      <c r="H970" t="s">
        <v>68</v>
      </c>
      <c r="I970" t="s">
        <v>69</v>
      </c>
      <c r="J970">
        <v>4</v>
      </c>
      <c r="K970">
        <v>4297</v>
      </c>
      <c r="L970">
        <v>5</v>
      </c>
      <c r="M970">
        <v>16328.6</v>
      </c>
      <c r="N970">
        <v>2281.4699999999998</v>
      </c>
      <c r="O970" t="s">
        <v>42</v>
      </c>
    </row>
    <row r="971" spans="1:15" x14ac:dyDescent="0.25">
      <c r="A971" t="s">
        <v>1041</v>
      </c>
      <c r="B971" s="1">
        <v>45743</v>
      </c>
      <c r="C971" t="s">
        <v>25</v>
      </c>
      <c r="D971" t="s">
        <v>61</v>
      </c>
      <c r="E971" t="s">
        <v>62</v>
      </c>
      <c r="F971" t="s">
        <v>52</v>
      </c>
      <c r="G971" t="s">
        <v>20</v>
      </c>
      <c r="H971" t="s">
        <v>77</v>
      </c>
      <c r="I971" t="s">
        <v>78</v>
      </c>
      <c r="J971">
        <v>5</v>
      </c>
      <c r="K971">
        <v>59067</v>
      </c>
      <c r="L971">
        <v>20</v>
      </c>
      <c r="M971">
        <v>236268</v>
      </c>
      <c r="N971">
        <v>46017.41</v>
      </c>
      <c r="O971" t="s">
        <v>42</v>
      </c>
    </row>
    <row r="972" spans="1:15" x14ac:dyDescent="0.25">
      <c r="A972" t="s">
        <v>1042</v>
      </c>
      <c r="B972" s="1">
        <v>45659</v>
      </c>
      <c r="C972" t="s">
        <v>36</v>
      </c>
      <c r="D972" t="s">
        <v>85</v>
      </c>
      <c r="E972" t="s">
        <v>86</v>
      </c>
      <c r="F972" t="s">
        <v>39</v>
      </c>
      <c r="G972" t="s">
        <v>20</v>
      </c>
      <c r="H972" t="s">
        <v>77</v>
      </c>
      <c r="I972" t="s">
        <v>88</v>
      </c>
      <c r="J972">
        <v>4</v>
      </c>
      <c r="K972">
        <v>12543</v>
      </c>
      <c r="L972">
        <v>20</v>
      </c>
      <c r="M972">
        <v>40137.599999999999</v>
      </c>
      <c r="N972">
        <v>5275.13</v>
      </c>
      <c r="O972" t="s">
        <v>23</v>
      </c>
    </row>
    <row r="973" spans="1:15" x14ac:dyDescent="0.25">
      <c r="A973" t="s">
        <v>1043</v>
      </c>
      <c r="B973" s="1">
        <v>45944</v>
      </c>
      <c r="C973" t="s">
        <v>65</v>
      </c>
      <c r="D973" t="s">
        <v>66</v>
      </c>
      <c r="E973" t="s">
        <v>67</v>
      </c>
      <c r="F973" t="s">
        <v>33</v>
      </c>
      <c r="G973" t="s">
        <v>20</v>
      </c>
      <c r="H973" t="s">
        <v>68</v>
      </c>
      <c r="I973" t="s">
        <v>94</v>
      </c>
      <c r="J973">
        <v>7</v>
      </c>
      <c r="K973">
        <v>68253</v>
      </c>
      <c r="L973">
        <v>10</v>
      </c>
      <c r="M973">
        <v>429993.9</v>
      </c>
      <c r="N973">
        <v>94560.88</v>
      </c>
      <c r="O973" t="s">
        <v>34</v>
      </c>
    </row>
    <row r="974" spans="1:15" x14ac:dyDescent="0.25">
      <c r="A974" t="s">
        <v>1044</v>
      </c>
      <c r="B974" s="1">
        <v>45966</v>
      </c>
      <c r="C974" t="s">
        <v>36</v>
      </c>
      <c r="D974" t="s">
        <v>85</v>
      </c>
      <c r="E974" t="s">
        <v>86</v>
      </c>
      <c r="F974" t="s">
        <v>33</v>
      </c>
      <c r="G974" t="s">
        <v>28</v>
      </c>
      <c r="H974" t="s">
        <v>68</v>
      </c>
      <c r="I974" t="s">
        <v>69</v>
      </c>
      <c r="J974">
        <v>2</v>
      </c>
      <c r="K974">
        <v>22243</v>
      </c>
      <c r="L974">
        <v>15</v>
      </c>
      <c r="M974">
        <v>37813.1</v>
      </c>
      <c r="N974">
        <v>6702.68</v>
      </c>
      <c r="O974" t="s">
        <v>23</v>
      </c>
    </row>
    <row r="975" spans="1:15" x14ac:dyDescent="0.25">
      <c r="A975" t="s">
        <v>1045</v>
      </c>
      <c r="B975" s="1">
        <v>45764</v>
      </c>
      <c r="C975" t="s">
        <v>36</v>
      </c>
      <c r="D975" t="s">
        <v>85</v>
      </c>
      <c r="E975" t="s">
        <v>86</v>
      </c>
      <c r="F975" t="s">
        <v>19</v>
      </c>
      <c r="G975" t="s">
        <v>20</v>
      </c>
      <c r="H975" t="s">
        <v>77</v>
      </c>
      <c r="I975" t="s">
        <v>100</v>
      </c>
      <c r="J975">
        <v>10</v>
      </c>
      <c r="K975">
        <v>71606</v>
      </c>
      <c r="L975">
        <v>5</v>
      </c>
      <c r="M975">
        <v>680257</v>
      </c>
      <c r="N975">
        <v>157924.91</v>
      </c>
      <c r="O975" t="s">
        <v>34</v>
      </c>
    </row>
    <row r="976" spans="1:15" x14ac:dyDescent="0.25">
      <c r="A976" t="s">
        <v>1046</v>
      </c>
      <c r="B976" s="1">
        <v>45921</v>
      </c>
      <c r="C976" t="s">
        <v>16</v>
      </c>
      <c r="D976" t="s">
        <v>44</v>
      </c>
      <c r="E976" t="s">
        <v>44</v>
      </c>
      <c r="F976" t="s">
        <v>93</v>
      </c>
      <c r="G976" t="s">
        <v>28</v>
      </c>
      <c r="H976" t="s">
        <v>29</v>
      </c>
      <c r="I976" t="s">
        <v>53</v>
      </c>
      <c r="J976">
        <v>2</v>
      </c>
      <c r="K976">
        <v>66057</v>
      </c>
      <c r="L976">
        <v>15</v>
      </c>
      <c r="M976">
        <v>112296.9</v>
      </c>
      <c r="N976">
        <v>25291.79</v>
      </c>
      <c r="O976" t="s">
        <v>31</v>
      </c>
    </row>
    <row r="977" spans="1:15" x14ac:dyDescent="0.25">
      <c r="A977" t="s">
        <v>1047</v>
      </c>
      <c r="B977" s="1">
        <v>45991</v>
      </c>
      <c r="C977" t="s">
        <v>16</v>
      </c>
      <c r="D977" t="s">
        <v>17</v>
      </c>
      <c r="E977" t="s">
        <v>18</v>
      </c>
      <c r="F977" t="s">
        <v>72</v>
      </c>
      <c r="G977" t="s">
        <v>20</v>
      </c>
      <c r="H977" t="s">
        <v>29</v>
      </c>
      <c r="I977" t="s">
        <v>48</v>
      </c>
      <c r="J977">
        <v>1</v>
      </c>
      <c r="K977">
        <v>60836</v>
      </c>
      <c r="L977">
        <v>0</v>
      </c>
      <c r="M977">
        <v>60836</v>
      </c>
      <c r="N977">
        <v>14863.78</v>
      </c>
      <c r="O977" t="s">
        <v>31</v>
      </c>
    </row>
    <row r="978" spans="1:15" x14ac:dyDescent="0.25">
      <c r="A978" t="s">
        <v>1048</v>
      </c>
      <c r="B978" s="1">
        <v>45921</v>
      </c>
      <c r="C978" t="s">
        <v>65</v>
      </c>
      <c r="D978" t="s">
        <v>66</v>
      </c>
      <c r="E978" t="s">
        <v>67</v>
      </c>
      <c r="F978" t="s">
        <v>63</v>
      </c>
      <c r="G978" t="s">
        <v>28</v>
      </c>
      <c r="H978" t="s">
        <v>40</v>
      </c>
      <c r="I978" t="s">
        <v>41</v>
      </c>
      <c r="J978">
        <v>4</v>
      </c>
      <c r="K978">
        <v>79664</v>
      </c>
      <c r="L978">
        <v>10</v>
      </c>
      <c r="M978">
        <v>286790.40000000002</v>
      </c>
      <c r="N978">
        <v>59406.69</v>
      </c>
      <c r="O978" t="s">
        <v>23</v>
      </c>
    </row>
    <row r="979" spans="1:15" x14ac:dyDescent="0.25">
      <c r="A979" t="s">
        <v>1049</v>
      </c>
      <c r="B979" s="1">
        <v>45874</v>
      </c>
      <c r="C979" t="s">
        <v>36</v>
      </c>
      <c r="D979" t="s">
        <v>37</v>
      </c>
      <c r="E979" t="s">
        <v>38</v>
      </c>
      <c r="F979" t="s">
        <v>19</v>
      </c>
      <c r="G979" t="s">
        <v>28</v>
      </c>
      <c r="H979" t="s">
        <v>40</v>
      </c>
      <c r="I979" t="s">
        <v>59</v>
      </c>
      <c r="J979">
        <v>1</v>
      </c>
      <c r="K979">
        <v>69750</v>
      </c>
      <c r="L979">
        <v>10</v>
      </c>
      <c r="M979">
        <v>62775</v>
      </c>
      <c r="N979">
        <v>6766.61</v>
      </c>
      <c r="O979" t="s">
        <v>31</v>
      </c>
    </row>
    <row r="980" spans="1:15" x14ac:dyDescent="0.25">
      <c r="A980" t="s">
        <v>1050</v>
      </c>
      <c r="B980" s="1">
        <v>45867</v>
      </c>
      <c r="C980" t="s">
        <v>16</v>
      </c>
      <c r="D980" t="s">
        <v>17</v>
      </c>
      <c r="E980" t="s">
        <v>18</v>
      </c>
      <c r="F980" t="s">
        <v>52</v>
      </c>
      <c r="G980" t="s">
        <v>20</v>
      </c>
      <c r="H980" t="s">
        <v>21</v>
      </c>
      <c r="I980" t="s">
        <v>56</v>
      </c>
      <c r="J980">
        <v>8</v>
      </c>
      <c r="K980">
        <v>53669</v>
      </c>
      <c r="L980">
        <v>5</v>
      </c>
      <c r="M980">
        <v>407884.4</v>
      </c>
      <c r="N980">
        <v>44685.58</v>
      </c>
      <c r="O980" t="s">
        <v>23</v>
      </c>
    </row>
    <row r="981" spans="1:15" x14ac:dyDescent="0.25">
      <c r="A981" t="s">
        <v>1051</v>
      </c>
      <c r="B981" s="1">
        <v>45961</v>
      </c>
      <c r="C981" t="s">
        <v>25</v>
      </c>
      <c r="D981" t="s">
        <v>26</v>
      </c>
      <c r="E981" t="s">
        <v>27</v>
      </c>
      <c r="F981" t="s">
        <v>47</v>
      </c>
      <c r="G981" t="s">
        <v>28</v>
      </c>
      <c r="H981" t="s">
        <v>77</v>
      </c>
      <c r="I981" t="s">
        <v>88</v>
      </c>
      <c r="J981">
        <v>7</v>
      </c>
      <c r="K981">
        <v>21940</v>
      </c>
      <c r="L981">
        <v>0</v>
      </c>
      <c r="M981">
        <v>153580</v>
      </c>
      <c r="N981">
        <v>29178.42</v>
      </c>
      <c r="O981" t="s">
        <v>31</v>
      </c>
    </row>
    <row r="982" spans="1:15" x14ac:dyDescent="0.25">
      <c r="A982" t="s">
        <v>1052</v>
      </c>
      <c r="B982" s="1">
        <v>45987</v>
      </c>
      <c r="C982" t="s">
        <v>25</v>
      </c>
      <c r="D982" t="s">
        <v>26</v>
      </c>
      <c r="E982" t="s">
        <v>27</v>
      </c>
      <c r="F982" t="s">
        <v>33</v>
      </c>
      <c r="G982" t="s">
        <v>28</v>
      </c>
      <c r="H982" t="s">
        <v>40</v>
      </c>
      <c r="I982" t="s">
        <v>80</v>
      </c>
      <c r="J982">
        <v>4</v>
      </c>
      <c r="K982">
        <v>79698</v>
      </c>
      <c r="L982">
        <v>20</v>
      </c>
      <c r="M982">
        <v>255033.60000000001</v>
      </c>
      <c r="N982">
        <v>63628</v>
      </c>
      <c r="O982" t="s">
        <v>42</v>
      </c>
    </row>
    <row r="983" spans="1:15" x14ac:dyDescent="0.25">
      <c r="A983" t="s">
        <v>1053</v>
      </c>
      <c r="B983" s="1">
        <v>45704</v>
      </c>
      <c r="C983" t="s">
        <v>25</v>
      </c>
      <c r="D983" t="s">
        <v>61</v>
      </c>
      <c r="E983" t="s">
        <v>62</v>
      </c>
      <c r="F983" t="s">
        <v>63</v>
      </c>
      <c r="G983" t="s">
        <v>28</v>
      </c>
      <c r="H983" t="s">
        <v>77</v>
      </c>
      <c r="I983" t="s">
        <v>78</v>
      </c>
      <c r="J983">
        <v>10</v>
      </c>
      <c r="K983">
        <v>53723</v>
      </c>
      <c r="L983">
        <v>10</v>
      </c>
      <c r="M983">
        <v>483507</v>
      </c>
      <c r="N983">
        <v>77663.02</v>
      </c>
      <c r="O983" t="s">
        <v>34</v>
      </c>
    </row>
    <row r="984" spans="1:15" x14ac:dyDescent="0.25">
      <c r="A984" t="s">
        <v>1054</v>
      </c>
      <c r="B984" s="1">
        <v>45761</v>
      </c>
      <c r="C984" t="s">
        <v>65</v>
      </c>
      <c r="D984" t="s">
        <v>66</v>
      </c>
      <c r="E984" t="s">
        <v>67</v>
      </c>
      <c r="F984" t="s">
        <v>63</v>
      </c>
      <c r="G984" t="s">
        <v>20</v>
      </c>
      <c r="H984" t="s">
        <v>68</v>
      </c>
      <c r="I984" t="s">
        <v>94</v>
      </c>
      <c r="J984">
        <v>3</v>
      </c>
      <c r="K984">
        <v>12854</v>
      </c>
      <c r="L984">
        <v>5</v>
      </c>
      <c r="M984">
        <v>36633.9</v>
      </c>
      <c r="N984">
        <v>3137.44</v>
      </c>
      <c r="O984" t="s">
        <v>23</v>
      </c>
    </row>
    <row r="985" spans="1:15" x14ac:dyDescent="0.25">
      <c r="A985" t="s">
        <v>1055</v>
      </c>
      <c r="B985" s="1">
        <v>45791</v>
      </c>
      <c r="C985" t="s">
        <v>25</v>
      </c>
      <c r="D985" t="s">
        <v>26</v>
      </c>
      <c r="E985" t="s">
        <v>27</v>
      </c>
      <c r="F985" t="s">
        <v>19</v>
      </c>
      <c r="G985" t="s">
        <v>20</v>
      </c>
      <c r="H985" t="s">
        <v>21</v>
      </c>
      <c r="I985" t="s">
        <v>22</v>
      </c>
      <c r="J985">
        <v>5</v>
      </c>
      <c r="K985">
        <v>26326</v>
      </c>
      <c r="L985">
        <v>10</v>
      </c>
      <c r="M985">
        <v>118467</v>
      </c>
      <c r="N985">
        <v>25512.19</v>
      </c>
      <c r="O985" t="s">
        <v>31</v>
      </c>
    </row>
    <row r="986" spans="1:15" x14ac:dyDescent="0.25">
      <c r="A986" t="s">
        <v>1056</v>
      </c>
      <c r="B986" s="1">
        <v>45913</v>
      </c>
      <c r="C986" t="s">
        <v>25</v>
      </c>
      <c r="D986" t="s">
        <v>61</v>
      </c>
      <c r="E986" t="s">
        <v>62</v>
      </c>
      <c r="F986" t="s">
        <v>52</v>
      </c>
      <c r="G986" t="s">
        <v>20</v>
      </c>
      <c r="H986" t="s">
        <v>21</v>
      </c>
      <c r="I986" t="s">
        <v>22</v>
      </c>
      <c r="J986">
        <v>3</v>
      </c>
      <c r="K986">
        <v>33148</v>
      </c>
      <c r="L986">
        <v>5</v>
      </c>
      <c r="M986">
        <v>94471.8</v>
      </c>
      <c r="N986">
        <v>14593.14</v>
      </c>
      <c r="O986" t="s">
        <v>42</v>
      </c>
    </row>
    <row r="987" spans="1:15" x14ac:dyDescent="0.25">
      <c r="A987" t="s">
        <v>1057</v>
      </c>
      <c r="B987" s="1">
        <v>45685</v>
      </c>
      <c r="C987" t="s">
        <v>65</v>
      </c>
      <c r="D987" t="s">
        <v>82</v>
      </c>
      <c r="E987" t="s">
        <v>83</v>
      </c>
      <c r="F987" t="s">
        <v>93</v>
      </c>
      <c r="G987" t="s">
        <v>20</v>
      </c>
      <c r="H987" t="s">
        <v>77</v>
      </c>
      <c r="I987" t="s">
        <v>100</v>
      </c>
      <c r="J987">
        <v>8</v>
      </c>
      <c r="K987">
        <v>46252</v>
      </c>
      <c r="L987">
        <v>20</v>
      </c>
      <c r="M987">
        <v>296012.79999999999</v>
      </c>
      <c r="N987">
        <v>28290.57</v>
      </c>
      <c r="O987" t="s">
        <v>23</v>
      </c>
    </row>
    <row r="988" spans="1:15" x14ac:dyDescent="0.25">
      <c r="A988" t="s">
        <v>1058</v>
      </c>
      <c r="B988" s="1">
        <v>45787</v>
      </c>
      <c r="C988" t="s">
        <v>65</v>
      </c>
      <c r="D988" t="s">
        <v>82</v>
      </c>
      <c r="E988" t="s">
        <v>83</v>
      </c>
      <c r="F988" t="s">
        <v>47</v>
      </c>
      <c r="G988" t="s">
        <v>20</v>
      </c>
      <c r="H988" t="s">
        <v>21</v>
      </c>
      <c r="I988" t="s">
        <v>56</v>
      </c>
      <c r="J988">
        <v>8</v>
      </c>
      <c r="K988">
        <v>24589</v>
      </c>
      <c r="L988">
        <v>10</v>
      </c>
      <c r="M988">
        <v>177040.8</v>
      </c>
      <c r="N988">
        <v>41716</v>
      </c>
      <c r="O988" t="s">
        <v>42</v>
      </c>
    </row>
    <row r="989" spans="1:15" x14ac:dyDescent="0.25">
      <c r="A989" t="s">
        <v>1059</v>
      </c>
      <c r="B989" s="1">
        <v>45683</v>
      </c>
      <c r="C989" t="s">
        <v>65</v>
      </c>
      <c r="D989" t="s">
        <v>82</v>
      </c>
      <c r="E989" t="s">
        <v>83</v>
      </c>
      <c r="F989" t="s">
        <v>39</v>
      </c>
      <c r="G989" t="s">
        <v>20</v>
      </c>
      <c r="H989" t="s">
        <v>40</v>
      </c>
      <c r="I989" t="s">
        <v>80</v>
      </c>
      <c r="J989">
        <v>7</v>
      </c>
      <c r="K989">
        <v>75358</v>
      </c>
      <c r="L989">
        <v>10</v>
      </c>
      <c r="M989">
        <v>474755.4</v>
      </c>
      <c r="N989">
        <v>59702.62</v>
      </c>
      <c r="O989" t="s">
        <v>23</v>
      </c>
    </row>
    <row r="990" spans="1:15" x14ac:dyDescent="0.25">
      <c r="A990" t="s">
        <v>1060</v>
      </c>
      <c r="B990" s="1">
        <v>45856</v>
      </c>
      <c r="C990" t="s">
        <v>16</v>
      </c>
      <c r="D990" t="s">
        <v>44</v>
      </c>
      <c r="E990" t="s">
        <v>44</v>
      </c>
      <c r="F990" t="s">
        <v>72</v>
      </c>
      <c r="G990" t="s">
        <v>20</v>
      </c>
      <c r="H990" t="s">
        <v>29</v>
      </c>
      <c r="I990" t="s">
        <v>48</v>
      </c>
      <c r="J990">
        <v>1</v>
      </c>
      <c r="K990">
        <v>32244</v>
      </c>
      <c r="L990">
        <v>5</v>
      </c>
      <c r="M990">
        <v>30631.8</v>
      </c>
      <c r="N990">
        <v>5978.11</v>
      </c>
      <c r="O990" t="s">
        <v>23</v>
      </c>
    </row>
    <row r="991" spans="1:15" x14ac:dyDescent="0.25">
      <c r="A991" t="s">
        <v>1061</v>
      </c>
      <c r="B991" s="1">
        <v>45851</v>
      </c>
      <c r="C991" t="s">
        <v>36</v>
      </c>
      <c r="D991" t="s">
        <v>37</v>
      </c>
      <c r="E991" t="s">
        <v>38</v>
      </c>
      <c r="F991" t="s">
        <v>72</v>
      </c>
      <c r="G991" t="s">
        <v>20</v>
      </c>
      <c r="H991" t="s">
        <v>77</v>
      </c>
      <c r="I991" t="s">
        <v>88</v>
      </c>
      <c r="J991">
        <v>5</v>
      </c>
      <c r="K991">
        <v>14554</v>
      </c>
      <c r="L991">
        <v>5</v>
      </c>
      <c r="M991">
        <v>69131.5</v>
      </c>
      <c r="N991">
        <v>5978.67</v>
      </c>
      <c r="O991" t="s">
        <v>23</v>
      </c>
    </row>
    <row r="992" spans="1:15" x14ac:dyDescent="0.25">
      <c r="A992" t="s">
        <v>1062</v>
      </c>
      <c r="B992" s="1">
        <v>45730</v>
      </c>
      <c r="C992" t="s">
        <v>16</v>
      </c>
      <c r="D992" t="s">
        <v>106</v>
      </c>
      <c r="E992" t="s">
        <v>107</v>
      </c>
      <c r="F992" t="s">
        <v>93</v>
      </c>
      <c r="G992" t="s">
        <v>20</v>
      </c>
      <c r="H992" t="s">
        <v>68</v>
      </c>
      <c r="I992" t="s">
        <v>94</v>
      </c>
      <c r="J992">
        <v>4</v>
      </c>
      <c r="K992">
        <v>11734</v>
      </c>
      <c r="L992">
        <v>10</v>
      </c>
      <c r="M992">
        <v>42242.400000000001</v>
      </c>
      <c r="N992">
        <v>6569.98</v>
      </c>
      <c r="O992" t="s">
        <v>42</v>
      </c>
    </row>
    <row r="993" spans="1:15" x14ac:dyDescent="0.25">
      <c r="A993" t="s">
        <v>1063</v>
      </c>
      <c r="B993" s="1">
        <v>45762</v>
      </c>
      <c r="C993" t="s">
        <v>65</v>
      </c>
      <c r="D993" t="s">
        <v>82</v>
      </c>
      <c r="E993" t="s">
        <v>83</v>
      </c>
      <c r="F993" t="s">
        <v>19</v>
      </c>
      <c r="G993" t="s">
        <v>20</v>
      </c>
      <c r="H993" t="s">
        <v>68</v>
      </c>
      <c r="I993" t="s">
        <v>90</v>
      </c>
      <c r="J993">
        <v>6</v>
      </c>
      <c r="K993">
        <v>26232</v>
      </c>
      <c r="L993">
        <v>10</v>
      </c>
      <c r="M993">
        <v>141652.79999999999</v>
      </c>
      <c r="N993">
        <v>13779.1</v>
      </c>
      <c r="O993" t="s">
        <v>42</v>
      </c>
    </row>
    <row r="994" spans="1:15" x14ac:dyDescent="0.25">
      <c r="A994" t="s">
        <v>1064</v>
      </c>
      <c r="B994" s="1">
        <v>45829</v>
      </c>
      <c r="C994" t="s">
        <v>25</v>
      </c>
      <c r="D994" t="s">
        <v>61</v>
      </c>
      <c r="E994" t="s">
        <v>62</v>
      </c>
      <c r="F994" t="s">
        <v>47</v>
      </c>
      <c r="G994" t="s">
        <v>20</v>
      </c>
      <c r="H994" t="s">
        <v>68</v>
      </c>
      <c r="I994" t="s">
        <v>90</v>
      </c>
      <c r="J994">
        <v>10</v>
      </c>
      <c r="K994">
        <v>43210</v>
      </c>
      <c r="L994">
        <v>0</v>
      </c>
      <c r="M994">
        <v>432100</v>
      </c>
      <c r="N994">
        <v>61270.49</v>
      </c>
      <c r="O994" t="s">
        <v>42</v>
      </c>
    </row>
    <row r="995" spans="1:15" x14ac:dyDescent="0.25">
      <c r="A995" t="s">
        <v>1065</v>
      </c>
      <c r="B995" s="1">
        <v>45683</v>
      </c>
      <c r="C995" t="s">
        <v>25</v>
      </c>
      <c r="D995" t="s">
        <v>26</v>
      </c>
      <c r="E995" t="s">
        <v>27</v>
      </c>
      <c r="F995" t="s">
        <v>19</v>
      </c>
      <c r="G995" t="s">
        <v>28</v>
      </c>
      <c r="H995" t="s">
        <v>29</v>
      </c>
      <c r="I995" t="s">
        <v>48</v>
      </c>
      <c r="J995">
        <v>5</v>
      </c>
      <c r="K995">
        <v>32275</v>
      </c>
      <c r="L995">
        <v>10</v>
      </c>
      <c r="M995">
        <v>145237.5</v>
      </c>
      <c r="N995">
        <v>20470.41</v>
      </c>
      <c r="O995" t="s">
        <v>42</v>
      </c>
    </row>
    <row r="996" spans="1:15" x14ac:dyDescent="0.25">
      <c r="A996" t="s">
        <v>1066</v>
      </c>
      <c r="B996" s="1">
        <v>45916</v>
      </c>
      <c r="C996" t="s">
        <v>36</v>
      </c>
      <c r="D996" t="s">
        <v>37</v>
      </c>
      <c r="E996" t="s">
        <v>38</v>
      </c>
      <c r="F996" t="s">
        <v>39</v>
      </c>
      <c r="G996" t="s">
        <v>20</v>
      </c>
      <c r="H996" t="s">
        <v>40</v>
      </c>
      <c r="I996" t="s">
        <v>59</v>
      </c>
      <c r="J996">
        <v>7</v>
      </c>
      <c r="K996">
        <v>75961</v>
      </c>
      <c r="L996">
        <v>15</v>
      </c>
      <c r="M996">
        <v>451967.95</v>
      </c>
      <c r="N996">
        <v>50380.03</v>
      </c>
      <c r="O996" t="s">
        <v>34</v>
      </c>
    </row>
    <row r="997" spans="1:15" x14ac:dyDescent="0.25">
      <c r="A997" t="s">
        <v>1067</v>
      </c>
      <c r="B997" s="1">
        <v>45746</v>
      </c>
      <c r="C997" t="s">
        <v>36</v>
      </c>
      <c r="D997" t="s">
        <v>37</v>
      </c>
      <c r="E997" t="s">
        <v>38</v>
      </c>
      <c r="F997" t="s">
        <v>19</v>
      </c>
      <c r="G997" t="s">
        <v>28</v>
      </c>
      <c r="H997" t="s">
        <v>29</v>
      </c>
      <c r="I997" t="s">
        <v>30</v>
      </c>
      <c r="J997">
        <v>3</v>
      </c>
      <c r="K997">
        <v>8152</v>
      </c>
      <c r="L997">
        <v>15</v>
      </c>
      <c r="M997">
        <v>20787.599999999999</v>
      </c>
      <c r="N997">
        <v>4366.5</v>
      </c>
      <c r="O997" t="s">
        <v>31</v>
      </c>
    </row>
    <row r="998" spans="1:15" x14ac:dyDescent="0.25">
      <c r="A998" t="s">
        <v>1068</v>
      </c>
      <c r="B998" s="1">
        <v>45948</v>
      </c>
      <c r="C998" t="s">
        <v>65</v>
      </c>
      <c r="D998" t="s">
        <v>82</v>
      </c>
      <c r="E998" t="s">
        <v>83</v>
      </c>
      <c r="F998" t="s">
        <v>47</v>
      </c>
      <c r="G998" t="s">
        <v>20</v>
      </c>
      <c r="H998" t="s">
        <v>77</v>
      </c>
      <c r="I998" t="s">
        <v>88</v>
      </c>
      <c r="J998">
        <v>9</v>
      </c>
      <c r="K998">
        <v>48865</v>
      </c>
      <c r="L998">
        <v>10</v>
      </c>
      <c r="M998">
        <v>395806.5</v>
      </c>
      <c r="N998">
        <v>49367.22</v>
      </c>
      <c r="O998" t="s">
        <v>23</v>
      </c>
    </row>
    <row r="999" spans="1:15" x14ac:dyDescent="0.25">
      <c r="A999" t="s">
        <v>1069</v>
      </c>
      <c r="B999" s="1">
        <v>45856</v>
      </c>
      <c r="C999" t="s">
        <v>36</v>
      </c>
      <c r="D999" t="s">
        <v>85</v>
      </c>
      <c r="E999" t="s">
        <v>86</v>
      </c>
      <c r="F999" t="s">
        <v>52</v>
      </c>
      <c r="G999" t="s">
        <v>28</v>
      </c>
      <c r="H999" t="s">
        <v>29</v>
      </c>
      <c r="I999" t="s">
        <v>30</v>
      </c>
      <c r="J999">
        <v>7</v>
      </c>
      <c r="K999">
        <v>9362</v>
      </c>
      <c r="L999">
        <v>0</v>
      </c>
      <c r="M999">
        <v>65534</v>
      </c>
      <c r="N999">
        <v>13010.96</v>
      </c>
      <c r="O999" t="s">
        <v>23</v>
      </c>
    </row>
    <row r="1000" spans="1:15" x14ac:dyDescent="0.25">
      <c r="A1000" t="s">
        <v>1070</v>
      </c>
      <c r="B1000" s="1">
        <v>45956</v>
      </c>
      <c r="C1000" t="s">
        <v>16</v>
      </c>
      <c r="D1000" t="s">
        <v>44</v>
      </c>
      <c r="E1000" t="s">
        <v>44</v>
      </c>
      <c r="F1000" t="s">
        <v>33</v>
      </c>
      <c r="G1000" t="s">
        <v>20</v>
      </c>
      <c r="H1000" t="s">
        <v>40</v>
      </c>
      <c r="I1000" t="s">
        <v>41</v>
      </c>
      <c r="J1000">
        <v>1</v>
      </c>
      <c r="K1000">
        <v>740</v>
      </c>
      <c r="L1000">
        <v>5</v>
      </c>
      <c r="M1000">
        <v>703</v>
      </c>
      <c r="N1000">
        <v>168.51</v>
      </c>
      <c r="O1000" t="s">
        <v>42</v>
      </c>
    </row>
    <row r="1001" spans="1:15" x14ac:dyDescent="0.25">
      <c r="A1001" t="s">
        <v>1071</v>
      </c>
      <c r="B1001" s="1">
        <v>45722</v>
      </c>
      <c r="C1001" t="s">
        <v>25</v>
      </c>
      <c r="D1001" t="s">
        <v>61</v>
      </c>
      <c r="E1001" t="s">
        <v>62</v>
      </c>
      <c r="F1001" t="s">
        <v>72</v>
      </c>
      <c r="G1001" t="s">
        <v>20</v>
      </c>
      <c r="H1001" t="s">
        <v>40</v>
      </c>
      <c r="I1001" t="s">
        <v>80</v>
      </c>
      <c r="J1001">
        <v>5</v>
      </c>
      <c r="K1001">
        <v>43392</v>
      </c>
      <c r="L1001">
        <v>15</v>
      </c>
      <c r="M1001">
        <v>184416</v>
      </c>
      <c r="N1001">
        <v>22507.17</v>
      </c>
      <c r="O1001" t="s">
        <v>23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7508C-8805-4F33-8215-E79A4C5A166D}">
  <dimension ref="A1"/>
  <sheetViews>
    <sheetView showGridLines="0" tabSelected="1" zoomScale="71" zoomScaleNormal="71" workbookViewId="0">
      <selection activeCell="AE24" sqref="AE24"/>
    </sheetView>
  </sheetViews>
  <sheetFormatPr defaultRowHeight="15" x14ac:dyDescent="0.25"/>
  <cols>
    <col min="1" max="1" width="4" customWidth="1"/>
    <col min="2" max="2" width="2.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RetailSales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sravani goud</cp:lastModifiedBy>
  <dcterms:created xsi:type="dcterms:W3CDTF">2026-07-04T07:16:57Z</dcterms:created>
  <dcterms:modified xsi:type="dcterms:W3CDTF">2026-07-05T09:08:51Z</dcterms:modified>
</cp:coreProperties>
</file>